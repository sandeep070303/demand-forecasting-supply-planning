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BF1D4A7D-C941-4E41-A6D4-74D0147831F3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README" sheetId="1" r:id="rId1"/>
    <sheet name="Demand_History" sheetId="2" r:id="rId2"/>
    <sheet name="Forecast" sheetId="3" r:id="rId3"/>
    <sheet name="Supply_Planning" sheetId="4" r:id="rId4"/>
    <sheet name="Purchase_Plan" sheetId="5" r:id="rId5"/>
    <sheet name="KPI_Dashboard" sheetId="6" r:id="rId6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I4" i="4"/>
  <c r="G4" i="6"/>
  <c r="B27" i="6"/>
  <c r="C4" i="4"/>
  <c r="E4" i="4"/>
  <c r="F4" i="4"/>
  <c r="L4" i="4"/>
  <c r="F4" i="6"/>
  <c r="B26" i="6"/>
  <c r="E4" i="6"/>
  <c r="B25" i="6"/>
  <c r="D4" i="6"/>
  <c r="B24" i="6"/>
  <c r="C4" i="6"/>
  <c r="B23" i="6"/>
  <c r="C5" i="3"/>
  <c r="E5" i="3"/>
  <c r="F5" i="3"/>
  <c r="G5" i="3"/>
  <c r="C6" i="3"/>
  <c r="E6" i="3"/>
  <c r="F6" i="3"/>
  <c r="G6" i="3"/>
  <c r="C7" i="3"/>
  <c r="E7" i="3"/>
  <c r="F7" i="3"/>
  <c r="G7" i="3"/>
  <c r="C8" i="3"/>
  <c r="E8" i="3"/>
  <c r="F8" i="3"/>
  <c r="G8" i="3"/>
  <c r="C9" i="3"/>
  <c r="E9" i="3"/>
  <c r="F9" i="3"/>
  <c r="G9" i="3"/>
  <c r="C10" i="3"/>
  <c r="E10" i="3"/>
  <c r="F10" i="3"/>
  <c r="G10" i="3"/>
  <c r="C11" i="3"/>
  <c r="E11" i="3"/>
  <c r="F11" i="3"/>
  <c r="G11" i="3"/>
  <c r="C12" i="3"/>
  <c r="E12" i="3"/>
  <c r="F12" i="3"/>
  <c r="G12" i="3"/>
  <c r="C13" i="3"/>
  <c r="E13" i="3"/>
  <c r="F13" i="3"/>
  <c r="G13" i="3"/>
  <c r="C14" i="3"/>
  <c r="E14" i="3"/>
  <c r="F14" i="3"/>
  <c r="G14" i="3"/>
  <c r="C15" i="3"/>
  <c r="E15" i="3"/>
  <c r="F15" i="3"/>
  <c r="G15" i="3"/>
  <c r="C16" i="3"/>
  <c r="E16" i="3"/>
  <c r="F16" i="3"/>
  <c r="G16" i="3"/>
  <c r="C17" i="3"/>
  <c r="E17" i="3"/>
  <c r="F17" i="3"/>
  <c r="G17" i="3"/>
  <c r="C18" i="3"/>
  <c r="E18" i="3"/>
  <c r="F18" i="3"/>
  <c r="G18" i="3"/>
  <c r="C19" i="3"/>
  <c r="E19" i="3"/>
  <c r="F19" i="3"/>
  <c r="G19" i="3"/>
  <c r="C20" i="3"/>
  <c r="E20" i="3"/>
  <c r="F20" i="3"/>
  <c r="G20" i="3"/>
  <c r="C21" i="3"/>
  <c r="E21" i="3"/>
  <c r="F21" i="3"/>
  <c r="G21" i="3"/>
  <c r="C22" i="3"/>
  <c r="E22" i="3"/>
  <c r="F22" i="3"/>
  <c r="G22" i="3"/>
  <c r="C23" i="3"/>
  <c r="E23" i="3"/>
  <c r="F23" i="3"/>
  <c r="G23" i="3"/>
  <c r="C24" i="3"/>
  <c r="E24" i="3"/>
  <c r="F24" i="3"/>
  <c r="G24" i="3"/>
  <c r="C25" i="3"/>
  <c r="E25" i="3"/>
  <c r="F25" i="3"/>
  <c r="G25" i="3"/>
  <c r="C29" i="3"/>
  <c r="E29" i="3"/>
  <c r="F29" i="3"/>
  <c r="G29" i="3"/>
  <c r="C30" i="3"/>
  <c r="E30" i="3"/>
  <c r="F30" i="3"/>
  <c r="G30" i="3"/>
  <c r="C31" i="3"/>
  <c r="E31" i="3"/>
  <c r="F31" i="3"/>
  <c r="G31" i="3"/>
  <c r="C32" i="3"/>
  <c r="E32" i="3"/>
  <c r="F32" i="3"/>
  <c r="G32" i="3"/>
  <c r="C33" i="3"/>
  <c r="E33" i="3"/>
  <c r="F33" i="3"/>
  <c r="G33" i="3"/>
  <c r="C34" i="3"/>
  <c r="E34" i="3"/>
  <c r="F34" i="3"/>
  <c r="G34" i="3"/>
  <c r="C35" i="3"/>
  <c r="E35" i="3"/>
  <c r="F35" i="3"/>
  <c r="G35" i="3"/>
  <c r="C36" i="3"/>
  <c r="E36" i="3"/>
  <c r="F36" i="3"/>
  <c r="G36" i="3"/>
  <c r="C37" i="3"/>
  <c r="E37" i="3"/>
  <c r="F37" i="3"/>
  <c r="G37" i="3"/>
  <c r="C38" i="3"/>
  <c r="E38" i="3"/>
  <c r="F38" i="3"/>
  <c r="G38" i="3"/>
  <c r="C39" i="3"/>
  <c r="E39" i="3"/>
  <c r="F39" i="3"/>
  <c r="G39" i="3"/>
  <c r="C40" i="3"/>
  <c r="E40" i="3"/>
  <c r="F40" i="3"/>
  <c r="G40" i="3"/>
  <c r="C41" i="3"/>
  <c r="E41" i="3"/>
  <c r="F41" i="3"/>
  <c r="G41" i="3"/>
  <c r="C42" i="3"/>
  <c r="E42" i="3"/>
  <c r="F42" i="3"/>
  <c r="G42" i="3"/>
  <c r="C43" i="3"/>
  <c r="E43" i="3"/>
  <c r="F43" i="3"/>
  <c r="G43" i="3"/>
  <c r="C44" i="3"/>
  <c r="E44" i="3"/>
  <c r="F44" i="3"/>
  <c r="G44" i="3"/>
  <c r="C45" i="3"/>
  <c r="E45" i="3"/>
  <c r="F45" i="3"/>
  <c r="G45" i="3"/>
  <c r="C46" i="3"/>
  <c r="E46" i="3"/>
  <c r="F46" i="3"/>
  <c r="G46" i="3"/>
  <c r="C47" i="3"/>
  <c r="E47" i="3"/>
  <c r="F47" i="3"/>
  <c r="G47" i="3"/>
  <c r="C48" i="3"/>
  <c r="E48" i="3"/>
  <c r="F48" i="3"/>
  <c r="G48" i="3"/>
  <c r="C49" i="3"/>
  <c r="E49" i="3"/>
  <c r="F49" i="3"/>
  <c r="G49" i="3"/>
  <c r="C53" i="3"/>
  <c r="E53" i="3"/>
  <c r="F53" i="3"/>
  <c r="G53" i="3"/>
  <c r="C54" i="3"/>
  <c r="E54" i="3"/>
  <c r="F54" i="3"/>
  <c r="G54" i="3"/>
  <c r="C55" i="3"/>
  <c r="E55" i="3"/>
  <c r="F55" i="3"/>
  <c r="G55" i="3"/>
  <c r="C56" i="3"/>
  <c r="E56" i="3"/>
  <c r="F56" i="3"/>
  <c r="G56" i="3"/>
  <c r="C57" i="3"/>
  <c r="E57" i="3"/>
  <c r="F57" i="3"/>
  <c r="G57" i="3"/>
  <c r="C58" i="3"/>
  <c r="E58" i="3"/>
  <c r="F58" i="3"/>
  <c r="G58" i="3"/>
  <c r="C59" i="3"/>
  <c r="E59" i="3"/>
  <c r="F59" i="3"/>
  <c r="G59" i="3"/>
  <c r="C60" i="3"/>
  <c r="E60" i="3"/>
  <c r="F60" i="3"/>
  <c r="G60" i="3"/>
  <c r="C61" i="3"/>
  <c r="E61" i="3"/>
  <c r="F61" i="3"/>
  <c r="G61" i="3"/>
  <c r="C62" i="3"/>
  <c r="E62" i="3"/>
  <c r="F62" i="3"/>
  <c r="G62" i="3"/>
  <c r="C63" i="3"/>
  <c r="E63" i="3"/>
  <c r="F63" i="3"/>
  <c r="G63" i="3"/>
  <c r="C64" i="3"/>
  <c r="E64" i="3"/>
  <c r="F64" i="3"/>
  <c r="G64" i="3"/>
  <c r="C65" i="3"/>
  <c r="E65" i="3"/>
  <c r="F65" i="3"/>
  <c r="G65" i="3"/>
  <c r="C66" i="3"/>
  <c r="E66" i="3"/>
  <c r="F66" i="3"/>
  <c r="G66" i="3"/>
  <c r="C67" i="3"/>
  <c r="E67" i="3"/>
  <c r="F67" i="3"/>
  <c r="G67" i="3"/>
  <c r="C68" i="3"/>
  <c r="E68" i="3"/>
  <c r="F68" i="3"/>
  <c r="G68" i="3"/>
  <c r="C69" i="3"/>
  <c r="E69" i="3"/>
  <c r="F69" i="3"/>
  <c r="G69" i="3"/>
  <c r="C70" i="3"/>
  <c r="E70" i="3"/>
  <c r="F70" i="3"/>
  <c r="G70" i="3"/>
  <c r="C71" i="3"/>
  <c r="E71" i="3"/>
  <c r="F71" i="3"/>
  <c r="G71" i="3"/>
  <c r="C72" i="3"/>
  <c r="E72" i="3"/>
  <c r="F72" i="3"/>
  <c r="G72" i="3"/>
  <c r="C73" i="3"/>
  <c r="E73" i="3"/>
  <c r="F73" i="3"/>
  <c r="G73" i="3"/>
  <c r="C77" i="3"/>
  <c r="E77" i="3"/>
  <c r="F77" i="3"/>
  <c r="G77" i="3"/>
  <c r="C78" i="3"/>
  <c r="E78" i="3"/>
  <c r="F78" i="3"/>
  <c r="G78" i="3"/>
  <c r="C79" i="3"/>
  <c r="E79" i="3"/>
  <c r="F79" i="3"/>
  <c r="G79" i="3"/>
  <c r="C80" i="3"/>
  <c r="E80" i="3"/>
  <c r="F80" i="3"/>
  <c r="G80" i="3"/>
  <c r="C81" i="3"/>
  <c r="E81" i="3"/>
  <c r="F81" i="3"/>
  <c r="G81" i="3"/>
  <c r="C82" i="3"/>
  <c r="E82" i="3"/>
  <c r="F82" i="3"/>
  <c r="G82" i="3"/>
  <c r="C83" i="3"/>
  <c r="E83" i="3"/>
  <c r="F83" i="3"/>
  <c r="G83" i="3"/>
  <c r="C84" i="3"/>
  <c r="E84" i="3"/>
  <c r="F84" i="3"/>
  <c r="G84" i="3"/>
  <c r="C85" i="3"/>
  <c r="E85" i="3"/>
  <c r="F85" i="3"/>
  <c r="G85" i="3"/>
  <c r="C86" i="3"/>
  <c r="E86" i="3"/>
  <c r="F86" i="3"/>
  <c r="G86" i="3"/>
  <c r="C87" i="3"/>
  <c r="E87" i="3"/>
  <c r="F87" i="3"/>
  <c r="G87" i="3"/>
  <c r="C88" i="3"/>
  <c r="E88" i="3"/>
  <c r="F88" i="3"/>
  <c r="G88" i="3"/>
  <c r="C89" i="3"/>
  <c r="E89" i="3"/>
  <c r="F89" i="3"/>
  <c r="G89" i="3"/>
  <c r="C90" i="3"/>
  <c r="E90" i="3"/>
  <c r="F90" i="3"/>
  <c r="G90" i="3"/>
  <c r="C91" i="3"/>
  <c r="E91" i="3"/>
  <c r="F91" i="3"/>
  <c r="G91" i="3"/>
  <c r="C92" i="3"/>
  <c r="E92" i="3"/>
  <c r="F92" i="3"/>
  <c r="G92" i="3"/>
  <c r="C93" i="3"/>
  <c r="E93" i="3"/>
  <c r="F93" i="3"/>
  <c r="G93" i="3"/>
  <c r="C94" i="3"/>
  <c r="E94" i="3"/>
  <c r="F94" i="3"/>
  <c r="G94" i="3"/>
  <c r="C95" i="3"/>
  <c r="E95" i="3"/>
  <c r="F95" i="3"/>
  <c r="G95" i="3"/>
  <c r="C96" i="3"/>
  <c r="E96" i="3"/>
  <c r="F96" i="3"/>
  <c r="G96" i="3"/>
  <c r="C97" i="3"/>
  <c r="E97" i="3"/>
  <c r="F97" i="3"/>
  <c r="G97" i="3"/>
  <c r="C101" i="3"/>
  <c r="E101" i="3"/>
  <c r="F101" i="3"/>
  <c r="G101" i="3"/>
  <c r="C102" i="3"/>
  <c r="E102" i="3"/>
  <c r="F102" i="3"/>
  <c r="G102" i="3"/>
  <c r="C103" i="3"/>
  <c r="E103" i="3"/>
  <c r="F103" i="3"/>
  <c r="G103" i="3"/>
  <c r="C104" i="3"/>
  <c r="E104" i="3"/>
  <c r="F104" i="3"/>
  <c r="G104" i="3"/>
  <c r="C105" i="3"/>
  <c r="E105" i="3"/>
  <c r="F105" i="3"/>
  <c r="G105" i="3"/>
  <c r="C106" i="3"/>
  <c r="E106" i="3"/>
  <c r="F106" i="3"/>
  <c r="G106" i="3"/>
  <c r="C107" i="3"/>
  <c r="E107" i="3"/>
  <c r="F107" i="3"/>
  <c r="G107" i="3"/>
  <c r="C108" i="3"/>
  <c r="E108" i="3"/>
  <c r="F108" i="3"/>
  <c r="G108" i="3"/>
  <c r="C109" i="3"/>
  <c r="E109" i="3"/>
  <c r="F109" i="3"/>
  <c r="G109" i="3"/>
  <c r="C110" i="3"/>
  <c r="E110" i="3"/>
  <c r="F110" i="3"/>
  <c r="G110" i="3"/>
  <c r="C111" i="3"/>
  <c r="E111" i="3"/>
  <c r="F111" i="3"/>
  <c r="G111" i="3"/>
  <c r="C112" i="3"/>
  <c r="E112" i="3"/>
  <c r="F112" i="3"/>
  <c r="G112" i="3"/>
  <c r="C113" i="3"/>
  <c r="E113" i="3"/>
  <c r="F113" i="3"/>
  <c r="G113" i="3"/>
  <c r="C114" i="3"/>
  <c r="E114" i="3"/>
  <c r="F114" i="3"/>
  <c r="G114" i="3"/>
  <c r="C115" i="3"/>
  <c r="E115" i="3"/>
  <c r="F115" i="3"/>
  <c r="G115" i="3"/>
  <c r="C116" i="3"/>
  <c r="E116" i="3"/>
  <c r="F116" i="3"/>
  <c r="G116" i="3"/>
  <c r="C117" i="3"/>
  <c r="E117" i="3"/>
  <c r="F117" i="3"/>
  <c r="G117" i="3"/>
  <c r="C118" i="3"/>
  <c r="E118" i="3"/>
  <c r="F118" i="3"/>
  <c r="G118" i="3"/>
  <c r="C119" i="3"/>
  <c r="E119" i="3"/>
  <c r="F119" i="3"/>
  <c r="G119" i="3"/>
  <c r="C120" i="3"/>
  <c r="E120" i="3"/>
  <c r="F120" i="3"/>
  <c r="G120" i="3"/>
  <c r="C121" i="3"/>
  <c r="E121" i="3"/>
  <c r="F121" i="3"/>
  <c r="G121" i="3"/>
  <c r="J2" i="3"/>
  <c r="B4" i="6"/>
  <c r="B22" i="6"/>
  <c r="B5" i="4"/>
  <c r="I5" i="4"/>
  <c r="G5" i="6"/>
  <c r="B6" i="4"/>
  <c r="I6" i="4"/>
  <c r="G6" i="6"/>
  <c r="B7" i="4"/>
  <c r="I7" i="4"/>
  <c r="G7" i="6"/>
  <c r="B8" i="4"/>
  <c r="I8" i="4"/>
  <c r="G8" i="6"/>
  <c r="B12" i="6"/>
  <c r="C5" i="4"/>
  <c r="E5" i="4"/>
  <c r="F5" i="4"/>
  <c r="L5" i="4"/>
  <c r="F5" i="6"/>
  <c r="C6" i="4"/>
  <c r="E6" i="4"/>
  <c r="F6" i="4"/>
  <c r="L6" i="4"/>
  <c r="F6" i="6"/>
  <c r="C7" i="4"/>
  <c r="E7" i="4"/>
  <c r="F7" i="4"/>
  <c r="L7" i="4"/>
  <c r="F7" i="6"/>
  <c r="C8" i="4"/>
  <c r="E8" i="4"/>
  <c r="F8" i="4"/>
  <c r="L8" i="4"/>
  <c r="F8" i="6"/>
  <c r="B11" i="6"/>
  <c r="J3" i="3"/>
  <c r="B5" i="6"/>
  <c r="J4" i="3"/>
  <c r="B6" i="6"/>
  <c r="J5" i="3"/>
  <c r="B7" i="6"/>
  <c r="J6" i="3"/>
  <c r="B8" i="6"/>
  <c r="B10" i="6"/>
  <c r="E8" i="6"/>
  <c r="D8" i="6"/>
  <c r="C8" i="6"/>
  <c r="E7" i="6"/>
  <c r="D7" i="6"/>
  <c r="C7" i="6"/>
  <c r="E6" i="6"/>
  <c r="D6" i="6"/>
  <c r="C6" i="6"/>
  <c r="E5" i="6"/>
  <c r="D5" i="6"/>
  <c r="C5" i="6"/>
  <c r="C14" i="5"/>
  <c r="D14" i="5"/>
  <c r="E14" i="5"/>
  <c r="J8" i="4"/>
  <c r="G14" i="5"/>
  <c r="H14" i="5"/>
  <c r="C15" i="5"/>
  <c r="D15" i="5"/>
  <c r="E15" i="5"/>
  <c r="G15" i="5"/>
  <c r="H15" i="5"/>
  <c r="C16" i="5"/>
  <c r="D16" i="5"/>
  <c r="E16" i="5"/>
  <c r="G16" i="5"/>
  <c r="H16" i="5"/>
  <c r="F16" i="5"/>
  <c r="F15" i="5"/>
  <c r="F14" i="5"/>
  <c r="C11" i="5"/>
  <c r="D11" i="5"/>
  <c r="E11" i="5"/>
  <c r="J7" i="4"/>
  <c r="G11" i="5"/>
  <c r="H11" i="5"/>
  <c r="C12" i="5"/>
  <c r="D12" i="5"/>
  <c r="E12" i="5"/>
  <c r="G12" i="5"/>
  <c r="H12" i="5"/>
  <c r="C13" i="5"/>
  <c r="D13" i="5"/>
  <c r="E13" i="5"/>
  <c r="G13" i="5"/>
  <c r="H13" i="5"/>
  <c r="F13" i="5"/>
  <c r="F12" i="5"/>
  <c r="F11" i="5"/>
  <c r="C8" i="5"/>
  <c r="D8" i="5"/>
  <c r="E8" i="5"/>
  <c r="J6" i="4"/>
  <c r="G8" i="5"/>
  <c r="H8" i="5"/>
  <c r="C9" i="5"/>
  <c r="D9" i="5"/>
  <c r="E9" i="5"/>
  <c r="G9" i="5"/>
  <c r="H9" i="5"/>
  <c r="C10" i="5"/>
  <c r="D10" i="5"/>
  <c r="E10" i="5"/>
  <c r="G10" i="5"/>
  <c r="H10" i="5"/>
  <c r="F10" i="5"/>
  <c r="F9" i="5"/>
  <c r="F8" i="5"/>
  <c r="C5" i="5"/>
  <c r="D5" i="5"/>
  <c r="E5" i="5"/>
  <c r="J5" i="4"/>
  <c r="G5" i="5"/>
  <c r="H5" i="5"/>
  <c r="C6" i="5"/>
  <c r="D6" i="5"/>
  <c r="E6" i="5"/>
  <c r="G6" i="5"/>
  <c r="H6" i="5"/>
  <c r="C7" i="5"/>
  <c r="D7" i="5"/>
  <c r="E7" i="5"/>
  <c r="G7" i="5"/>
  <c r="H7" i="5"/>
  <c r="F7" i="5"/>
  <c r="F6" i="5"/>
  <c r="F5" i="5"/>
  <c r="C2" i="5"/>
  <c r="D2" i="5"/>
  <c r="E2" i="5"/>
  <c r="J4" i="4"/>
  <c r="G2" i="5"/>
  <c r="H2" i="5"/>
  <c r="C3" i="5"/>
  <c r="D3" i="5"/>
  <c r="E3" i="5"/>
  <c r="G3" i="5"/>
  <c r="H3" i="5"/>
  <c r="C4" i="5"/>
  <c r="D4" i="5"/>
  <c r="E4" i="5"/>
  <c r="G4" i="5"/>
  <c r="H4" i="5"/>
  <c r="F4" i="5"/>
  <c r="F3" i="5"/>
  <c r="F2" i="5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C100" i="3"/>
  <c r="C99" i="3"/>
  <c r="C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C76" i="3"/>
  <c r="C75" i="3"/>
  <c r="C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C52" i="3"/>
  <c r="C51" i="3"/>
  <c r="C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C28" i="3"/>
  <c r="C27" i="3"/>
  <c r="C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C4" i="3"/>
  <c r="C3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100-000001000000}">
      <text>
        <r>
          <rPr>
            <sz val="10"/>
            <rFont val="Arial"/>
            <family val="2"/>
          </rPr>
          <t>Miniature Circuit Breaker 32A - monthly demand in units (sample data)</t>
        </r>
      </text>
    </comment>
    <comment ref="C1" authorId="0" shapeId="0" xr:uid="{00000000-0006-0000-0100-000002000000}">
      <text>
        <r>
          <rPr>
            <sz val="10"/>
            <rFont val="Arial"/>
            <family val="2"/>
          </rPr>
          <t>Contactor 40A - monthly demand in units (sample data)</t>
        </r>
      </text>
    </comment>
    <comment ref="D1" authorId="0" shapeId="0" xr:uid="{00000000-0006-0000-0100-000003000000}">
      <text>
        <r>
          <rPr>
            <sz val="10"/>
            <rFont val="Arial"/>
            <family val="2"/>
          </rPr>
          <t>Control Relay 10A - monthly demand in units (sample data)</t>
        </r>
      </text>
    </comment>
    <comment ref="E1" authorId="0" shapeId="0" xr:uid="{00000000-0006-0000-0100-000004000000}">
      <text>
        <r>
          <rPr>
            <sz val="10"/>
            <rFont val="Arial"/>
            <family val="2"/>
          </rPr>
          <t>Terminal Block 25A - monthly demand in units (sample data)</t>
        </r>
      </text>
    </comment>
    <comment ref="F1" authorId="0" shapeId="0" xr:uid="{00000000-0006-0000-0100-000005000000}">
      <text>
        <r>
          <rPr>
            <sz val="10"/>
            <rFont val="Arial"/>
            <family val="2"/>
          </rPr>
          <t>Switch Disconnector 63A - monthly demand in units (sample data)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4" authorId="0" shapeId="0" xr:uid="{00000000-0006-0000-0300-000001000000}">
      <text>
        <r>
          <rPr>
            <sz val="10"/>
            <rFont val="Arial"/>
            <family val="2"/>
          </rPr>
          <t>Assumed lead time from supplier for this demo. Replace with actual supplier lead time.</t>
        </r>
      </text>
    </comment>
    <comment ref="G4" authorId="0" shapeId="0" xr:uid="{00000000-0006-0000-0300-000006000000}">
      <text>
        <r>
          <rPr>
            <sz val="10"/>
            <rFont val="Arial"/>
            <family val="2"/>
          </rPr>
          <t>Assumed cost to place one purchase order (admin + freight, etc). Replace with actual cost.</t>
        </r>
      </text>
    </comment>
    <comment ref="H4" authorId="0" shapeId="0" xr:uid="{00000000-0006-0000-0300-00000B000000}">
      <text>
        <r>
          <rPr>
            <sz val="10"/>
            <rFont val="Arial"/>
            <family val="2"/>
          </rPr>
          <t>Assumed cost to hold/store one unit for a year (space, capital, etc). Replace with actual cost.</t>
        </r>
      </text>
    </comment>
    <comment ref="K4" authorId="0" shapeId="0" xr:uid="{00000000-0006-0000-0300-000010000000}">
      <text>
        <r>
          <rPr>
            <sz val="10"/>
            <rFont val="Arial"/>
            <family val="2"/>
          </rPr>
          <t>Assumed stock currently on hand for this demo. Replace with actual warehouse/ERP stock.</t>
        </r>
      </text>
    </comment>
    <comment ref="D5" authorId="0" shapeId="0" xr:uid="{00000000-0006-0000-0300-000002000000}">
      <text>
        <r>
          <rPr>
            <sz val="10"/>
            <rFont val="Arial"/>
            <family val="2"/>
          </rPr>
          <t>Assumed lead time from supplier for this demo. Replace with actual supplier lead time.</t>
        </r>
      </text>
    </comment>
    <comment ref="G5" authorId="0" shapeId="0" xr:uid="{00000000-0006-0000-0300-000007000000}">
      <text>
        <r>
          <rPr>
            <sz val="10"/>
            <rFont val="Arial"/>
            <family val="2"/>
          </rPr>
          <t>Assumed cost to place one purchase order (admin + freight, etc). Replace with actual cost.</t>
        </r>
      </text>
    </comment>
    <comment ref="H5" authorId="0" shapeId="0" xr:uid="{00000000-0006-0000-0300-00000C000000}">
      <text>
        <r>
          <rPr>
            <sz val="10"/>
            <rFont val="Arial"/>
            <family val="2"/>
          </rPr>
          <t>Assumed cost to hold/store one unit for a year (space, capital, etc). Replace with actual cost.</t>
        </r>
      </text>
    </comment>
    <comment ref="K5" authorId="0" shapeId="0" xr:uid="{00000000-0006-0000-0300-000011000000}">
      <text>
        <r>
          <rPr>
            <sz val="10"/>
            <rFont val="Arial"/>
            <family val="2"/>
          </rPr>
          <t>Assumed stock currently on hand for this demo. Replace with actual warehouse/ERP stock.</t>
        </r>
      </text>
    </comment>
    <comment ref="D6" authorId="0" shapeId="0" xr:uid="{00000000-0006-0000-0300-000003000000}">
      <text>
        <r>
          <rPr>
            <sz val="10"/>
            <rFont val="Arial"/>
            <family val="2"/>
          </rPr>
          <t>Assumed lead time from supplier for this demo. Replace with actual supplier lead time.</t>
        </r>
      </text>
    </comment>
    <comment ref="G6" authorId="0" shapeId="0" xr:uid="{00000000-0006-0000-0300-000008000000}">
      <text>
        <r>
          <rPr>
            <sz val="10"/>
            <rFont val="Arial"/>
            <family val="2"/>
          </rPr>
          <t>Assumed cost to place one purchase order (admin + freight, etc). Replace with actual cost.</t>
        </r>
      </text>
    </comment>
    <comment ref="H6" authorId="0" shapeId="0" xr:uid="{00000000-0006-0000-0300-00000D000000}">
      <text>
        <r>
          <rPr>
            <sz val="10"/>
            <rFont val="Arial"/>
            <family val="2"/>
          </rPr>
          <t>Assumed cost to hold/store one unit for a year (space, capital, etc). Replace with actual cost.</t>
        </r>
      </text>
    </comment>
    <comment ref="K6" authorId="0" shapeId="0" xr:uid="{00000000-0006-0000-0300-000012000000}">
      <text>
        <r>
          <rPr>
            <sz val="10"/>
            <rFont val="Arial"/>
            <family val="2"/>
          </rPr>
          <t>Assumed stock currently on hand for this demo. Replace with actual warehouse/ERP stock.</t>
        </r>
      </text>
    </comment>
    <comment ref="D7" authorId="0" shapeId="0" xr:uid="{00000000-0006-0000-0300-000004000000}">
      <text>
        <r>
          <rPr>
            <sz val="10"/>
            <rFont val="Arial"/>
            <family val="2"/>
          </rPr>
          <t>Assumed lead time from supplier for this demo. Replace with actual supplier lead time.</t>
        </r>
      </text>
    </comment>
    <comment ref="G7" authorId="0" shapeId="0" xr:uid="{00000000-0006-0000-0300-000009000000}">
      <text>
        <r>
          <rPr>
            <sz val="10"/>
            <rFont val="Arial"/>
            <family val="2"/>
          </rPr>
          <t>Assumed cost to place one purchase order (admin + freight, etc). Replace with actual cost.</t>
        </r>
      </text>
    </comment>
    <comment ref="H7" authorId="0" shapeId="0" xr:uid="{00000000-0006-0000-0300-00000E000000}">
      <text>
        <r>
          <rPr>
            <sz val="10"/>
            <rFont val="Arial"/>
            <family val="2"/>
          </rPr>
          <t>Assumed cost to hold/store one unit for a year (space, capital, etc). Replace with actual cost.</t>
        </r>
      </text>
    </comment>
    <comment ref="K7" authorId="0" shapeId="0" xr:uid="{00000000-0006-0000-0300-000013000000}">
      <text>
        <r>
          <rPr>
            <sz val="10"/>
            <rFont val="Arial"/>
            <family val="2"/>
          </rPr>
          <t>Assumed stock currently on hand for this demo. Replace with actual warehouse/ERP stock.</t>
        </r>
      </text>
    </comment>
    <comment ref="D8" authorId="0" shapeId="0" xr:uid="{00000000-0006-0000-0300-000005000000}">
      <text>
        <r>
          <rPr>
            <sz val="10"/>
            <rFont val="Arial"/>
            <family val="2"/>
          </rPr>
          <t>Assumed lead time from supplier for this demo. Replace with actual supplier lead time.</t>
        </r>
      </text>
    </comment>
    <comment ref="G8" authorId="0" shapeId="0" xr:uid="{00000000-0006-0000-0300-00000A000000}">
      <text>
        <r>
          <rPr>
            <sz val="10"/>
            <rFont val="Arial"/>
            <family val="2"/>
          </rPr>
          <t>Assumed cost to place one purchase order (admin + freight, etc). Replace with actual cost.</t>
        </r>
      </text>
    </comment>
    <comment ref="H8" authorId="0" shapeId="0" xr:uid="{00000000-0006-0000-0300-00000F000000}">
      <text>
        <r>
          <rPr>
            <sz val="10"/>
            <rFont val="Arial"/>
            <family val="2"/>
          </rPr>
          <t>Assumed cost to hold/store one unit for a year (space, capital, etc). Replace with actual cost.</t>
        </r>
      </text>
    </comment>
    <comment ref="K8" authorId="0" shapeId="0" xr:uid="{00000000-0006-0000-0300-000014000000}">
      <text>
        <r>
          <rPr>
            <sz val="10"/>
            <rFont val="Arial"/>
            <family val="2"/>
          </rPr>
          <t>Assumed stock currently on hand for this demo. Replace with actual warehouse/ERP stock.</t>
        </r>
      </text>
    </comment>
  </commentList>
</comments>
</file>

<file path=xl/sharedStrings.xml><?xml version="1.0" encoding="utf-8"?>
<sst xmlns="http://schemas.openxmlformats.org/spreadsheetml/2006/main" count="298" uniqueCount="73">
  <si>
    <t>Demand Forecasting &amp; Supply Planning Model</t>
  </si>
  <si>
    <t>Sample project for: Intern - Materials | Eaton Global Supply Chain Center of Excellence, Pune</t>
  </si>
  <si>
    <t>1. What this project is</t>
  </si>
  <si>
    <t>This is a simple Excel model that forecasts monthly product demand and plans purchase/stock decisions around it - the two core activities mentioned in the Materials Intern job description (demand &amp; supply process, material management, performance reporting, KPIs for cost/cash/service/continuity of supply).</t>
  </si>
  <si>
    <t>It uses 5 sample electrical products (like the kind Eaton makes) with 24 months of made-up but realistic sample sales history. All numbers are illustrative - in a real internship you would replace them with actual ERP/SAP data.</t>
  </si>
  <si>
    <t>2. Why this method (and not Machine Learning)</t>
  </si>
  <si>
    <t>Demand planning teams in most companies still rely on simple, explainable methods - moving averages, safety stock, reorder point, EOQ - because they are fast to build, easy to explain to a manager, and easy to audit. This project intentionally uses only these basic, well-known formulas (no statistics packages, no ML models) so it is realistic for a Materials Intern role and easy for you to explain confidently in an interview.</t>
  </si>
  <si>
    <t>3. What each sheet does</t>
  </si>
  <si>
    <t>Demand_History - Raw monthly demand (units) for 5 sample products over Jan 2024 - Dec 2025. This is the 'input data', shown in blue.</t>
  </si>
  <si>
    <t>Forecast - Predicts next month's demand using two simple methods: a 3-Month Moving Average and a Weighted Moving Average (recent months count more). It also checks how accurate each method was in the past (Forecast Accuracy %, on the right side of the sheet).</t>
  </si>
  <si>
    <t>Supply_Planning - For each product, calculates Safety Stock (buffer stock), Reorder Point (stock level that triggers a new order) and EOQ - Economic Order Quantity (the ideal quantity to order at once to balance ordering cost vs holding cost).</t>
  </si>
  <si>
    <t>Purchase_Plan - A 3-month rolling plan (Jan-Mar 2026) showing opening stock, forecast demand, whether to place an order, and the resulting closing stock for each product.</t>
  </si>
  <si>
    <t>KPI_Dashboard - A one-page summary with the key numbers a Materials/Supply Chain team tracks (Forecast Accuracy, Inventory Turnover, Reorder alerts) plus charts.</t>
  </si>
  <si>
    <t>4. Key formulas used (plain English)</t>
  </si>
  <si>
    <t>Moving Average Forecast = average of the last 3 months' actual demand.</t>
  </si>
  <si>
    <t>Weighted Moving Average = same idea, but the most recent month counts 3x, the month before that 2x, and the oldest of the three counts 1x - because recent demand usually predicts the near future better than older demand.</t>
  </si>
  <si>
    <t>Forecast Accuracy % = 1 - MAPE (Mean Absolute % Error) = how close the forecast was to what actually happened, averaged across all months.</t>
  </si>
  <si>
    <t>Safety Stock = (Highest month's demand - Average month's demand) x Lead Time in months. This is the 'max-min' method - a simple buffer that does not need statistics.</t>
  </si>
  <si>
    <t>Reorder Point = (Average monthly demand x Lead Time) + Safety Stock. When stock on hand falls to this level, it's time to place a new order.</t>
  </si>
  <si>
    <t>EOQ (Economic Order Quantity) = square root of (2 x Annual Demand x Ordering Cost / Holding Cost per unit). This is the standard formula taught in Operations/Industrial Engineering.</t>
  </si>
  <si>
    <t>Planned Order Qty (in Purchase_Plan) = if projected stock would fall below the Reorder Point, order enough to bring stock back up to (Reorder Point + EOQ) - not just a flat EOQ each time. This is a simple, standard 'order-up-to' policy that keeps stock from running out even in a high-demand month.</t>
  </si>
  <si>
    <t>5. Assumptions made (change these for a real dataset)</t>
  </si>
  <si>
    <t>- Demand history is generated data, not real Eaton sales data.</t>
  </si>
  <si>
    <t>- Lead time, ordering cost, holding cost and current stock (in Supply_Planning, shown in blue) are assumed values for the demo - hover over the cell comment on each for a note.</t>
  </si>
  <si>
    <t>- Purchase_Plan assumes flat demand for Jan-Mar 2026 (based on the last 3 known actual months) since no new actuals exist beyond Dec 2025 yet.</t>
  </si>
  <si>
    <t>6. How to talk about this in an interview</t>
  </si>
  <si>
    <t>"I built a simple Excel-based demand forecasting and supply planning tool. It takes monthly sales history, forecasts the next month using a weighted moving average, checks forecast accuracy, and then calculates safety stock, reorder point and EOQ so the model can flag which products need to be reordered. I also built a KPI dashboard with charts so results are easy to review at a glance - similar to the kind of performance reporting mentioned in this role."</t>
  </si>
  <si>
    <t>Month</t>
  </si>
  <si>
    <t>MCB-32A</t>
  </si>
  <si>
    <t>CN-40</t>
  </si>
  <si>
    <t>RL-10</t>
  </si>
  <si>
    <t>TB-25</t>
  </si>
  <si>
    <t>SD-63</t>
  </si>
  <si>
    <t>Note: sample demand data generated for this project - replace with real ERP export for actual use.</t>
  </si>
  <si>
    <t>SKU</t>
  </si>
  <si>
    <t>Actual Demand</t>
  </si>
  <si>
    <t>3-Month MA Forecast</t>
  </si>
  <si>
    <t>Weighted MA Forecast</t>
  </si>
  <si>
    <t>Forecast Error</t>
  </si>
  <si>
    <t>Abs % Error</t>
  </si>
  <si>
    <t>Forecast Accuracy %</t>
  </si>
  <si>
    <t>Higher % = forecast was closer to actual demand, on average, across all history.</t>
  </si>
  <si>
    <t>n/a</t>
  </si>
  <si>
    <t>Legend:</t>
  </si>
  <si>
    <t>Blue text = you can change this input</t>
  </si>
  <si>
    <t>Black text = calculated automatically</t>
  </si>
  <si>
    <t>Avg Monthly
Demand</t>
  </si>
  <si>
    <t>Max Monthly
Demand</t>
  </si>
  <si>
    <t>Lead Time
(months)</t>
  </si>
  <si>
    <t>Safety
Stock</t>
  </si>
  <si>
    <t>Reorder
Point</t>
  </si>
  <si>
    <t>Ordering Cost
per Order (Rs)</t>
  </si>
  <si>
    <t>Holding Cost
per Unit/Year (Rs)</t>
  </si>
  <si>
    <t>Annual
Demand</t>
  </si>
  <si>
    <t>EOQ - Order
Qty (units)</t>
  </si>
  <si>
    <t>Current
Stock</t>
  </si>
  <si>
    <t>Stock Status</t>
  </si>
  <si>
    <t>Opening Stock</t>
  </si>
  <si>
    <t>Forecast Demand</t>
  </si>
  <si>
    <t>Reorder Point</t>
  </si>
  <si>
    <t>Safety Stock</t>
  </si>
  <si>
    <t>Planned Order Qty</t>
  </si>
  <si>
    <t>Closing Stock</t>
  </si>
  <si>
    <t>Note: Forecast Demand for Jan-Mar 2026 assumes flat demand based on the last 3 known actual months (Oct-Dec 2025), since no newer actuals exist yet.</t>
  </si>
  <si>
    <t>Materials &amp; Supply Planning - KPI Dashboard</t>
  </si>
  <si>
    <t>Avg Monthly Demand</t>
  </si>
  <si>
    <t>Current Stock</t>
  </si>
  <si>
    <t>Inventory Turnover (x/yr)</t>
  </si>
  <si>
    <t>Overall Avg Forecast Accuracy:</t>
  </si>
  <si>
    <t>Products Needing Reorder Now:</t>
  </si>
  <si>
    <t>Overall Avg Inventory Turnover:</t>
  </si>
  <si>
    <t>Quick SKU Lookup</t>
  </si>
  <si>
    <t>Type or select a SKU code: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</si>
</sst>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b/>
      <sz val="10"/>
      <name val="Arial"/>
      <charset val="1"/>
    </font>
    <font>
      <b/>
      <sz val="12"/>
      <color rgb="FF1F4E78"/>
      <name val="Arial"/>
      <charset val="1"/>
    </font>
    <font>
      <b/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17" fontId="4" fillId="0" borderId="1" xfId="0" applyNumberFormat="1" applyFont="1" applyBorder="1"/>
    <xf numFmtId="3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8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4" fontId="8" fillId="0" borderId="0" xfId="0" applyNumberFormat="1" applyFont="1"/>
    <xf numFmtId="165" fontId="8" fillId="0" borderId="0" xfId="0" applyNumberFormat="1" applyFont="1"/>
    <xf numFmtId="0" fontId="9" fillId="0" borderId="0" xfId="0" applyFont="1"/>
    <xf numFmtId="0" fontId="10" fillId="3" borderId="1" xfId="0" applyFont="1" applyFill="1" applyBorder="1" applyAlignment="1">
      <alignment horizontal="center"/>
    </xf>
    <xf numFmtId="0" fontId="4" fillId="0" borderId="1" xfId="0" applyFont="1" applyBorder="1"/>
    <xf numFmtId="165" fontId="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"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Demand Trend by Product (2024-2025)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Demand_History!B1</c:f>
              <c:strCache>
                <c:ptCount val="1"/>
                <c:pt idx="0">
                  <c:v>MCB-32A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Demand_History!$A$2:$A$25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Demand_History!$B$2:$B$25</c:f>
              <c:numCache>
                <c:formatCode>#,##0</c:formatCode>
                <c:ptCount val="24"/>
                <c:pt idx="0">
                  <c:v>1200</c:v>
                </c:pt>
                <c:pt idx="1">
                  <c:v>1283</c:v>
                </c:pt>
                <c:pt idx="2">
                  <c:v>1346</c:v>
                </c:pt>
                <c:pt idx="3">
                  <c:v>1374</c:v>
                </c:pt>
                <c:pt idx="4">
                  <c:v>1362</c:v>
                </c:pt>
                <c:pt idx="5">
                  <c:v>1315</c:v>
                </c:pt>
                <c:pt idx="6">
                  <c:v>1248</c:v>
                </c:pt>
                <c:pt idx="7">
                  <c:v>1181</c:v>
                </c:pt>
                <c:pt idx="8">
                  <c:v>1134</c:v>
                </c:pt>
                <c:pt idx="9">
                  <c:v>1122</c:v>
                </c:pt>
                <c:pt idx="10">
                  <c:v>1150</c:v>
                </c:pt>
                <c:pt idx="11">
                  <c:v>1213</c:v>
                </c:pt>
                <c:pt idx="12">
                  <c:v>1296</c:v>
                </c:pt>
                <c:pt idx="13">
                  <c:v>1379</c:v>
                </c:pt>
                <c:pt idx="14">
                  <c:v>1442</c:v>
                </c:pt>
                <c:pt idx="15">
                  <c:v>1470</c:v>
                </c:pt>
                <c:pt idx="16">
                  <c:v>1458</c:v>
                </c:pt>
                <c:pt idx="17">
                  <c:v>1411</c:v>
                </c:pt>
                <c:pt idx="18">
                  <c:v>1344</c:v>
                </c:pt>
                <c:pt idx="19">
                  <c:v>1277</c:v>
                </c:pt>
                <c:pt idx="20">
                  <c:v>1230</c:v>
                </c:pt>
                <c:pt idx="21">
                  <c:v>1218</c:v>
                </c:pt>
                <c:pt idx="22">
                  <c:v>1246</c:v>
                </c:pt>
                <c:pt idx="23">
                  <c:v>1309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CD-384C-B41D-18B88EC473C6}"/>
            </c:ext>
          </c:extLst>
        </c:ser>
        <c:ser>
          <c:idx val="1"/>
          <c:order val="1"/>
          <c:tx>
            <c:strRef>
              <c:f>Demand_History!C1</c:f>
              <c:strCache>
                <c:ptCount val="1"/>
                <c:pt idx="0">
                  <c:v>CN-40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Demand_History!$A$2:$A$25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Demand_History!$C$2:$C$25</c:f>
              <c:numCache>
                <c:formatCode>#,##0</c:formatCode>
                <c:ptCount val="24"/>
                <c:pt idx="0">
                  <c:v>884</c:v>
                </c:pt>
                <c:pt idx="1">
                  <c:v>905</c:v>
                </c:pt>
                <c:pt idx="2">
                  <c:v>899</c:v>
                </c:pt>
                <c:pt idx="3">
                  <c:v>869</c:v>
                </c:pt>
                <c:pt idx="4">
                  <c:v>825</c:v>
                </c:pt>
                <c:pt idx="5">
                  <c:v>779</c:v>
                </c:pt>
                <c:pt idx="6">
                  <c:v>746</c:v>
                </c:pt>
                <c:pt idx="7">
                  <c:v>735</c:v>
                </c:pt>
                <c:pt idx="8">
                  <c:v>751</c:v>
                </c:pt>
                <c:pt idx="9">
                  <c:v>791</c:v>
                </c:pt>
                <c:pt idx="10">
                  <c:v>845</c:v>
                </c:pt>
                <c:pt idx="11">
                  <c:v>901</c:v>
                </c:pt>
                <c:pt idx="12">
                  <c:v>944</c:v>
                </c:pt>
                <c:pt idx="13">
                  <c:v>965</c:v>
                </c:pt>
                <c:pt idx="14">
                  <c:v>959</c:v>
                </c:pt>
                <c:pt idx="15">
                  <c:v>929</c:v>
                </c:pt>
                <c:pt idx="16">
                  <c:v>885</c:v>
                </c:pt>
                <c:pt idx="17">
                  <c:v>839</c:v>
                </c:pt>
                <c:pt idx="18">
                  <c:v>806</c:v>
                </c:pt>
                <c:pt idx="19">
                  <c:v>795</c:v>
                </c:pt>
                <c:pt idx="20">
                  <c:v>811</c:v>
                </c:pt>
                <c:pt idx="21">
                  <c:v>851</c:v>
                </c:pt>
                <c:pt idx="22">
                  <c:v>905</c:v>
                </c:pt>
                <c:pt idx="23">
                  <c:v>961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CD-384C-B41D-18B88EC473C6}"/>
            </c:ext>
          </c:extLst>
        </c:ser>
        <c:ser>
          <c:idx val="2"/>
          <c:order val="2"/>
          <c:tx>
            <c:strRef>
              <c:f>Demand_History!D1</c:f>
              <c:strCache>
                <c:ptCount val="1"/>
                <c:pt idx="0">
                  <c:v>RL-10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Demand_History!$A$2:$A$25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Demand_History!$D$2:$D$25</c:f>
              <c:numCache>
                <c:formatCode>#,##0</c:formatCode>
                <c:ptCount val="24"/>
                <c:pt idx="0">
                  <c:v>1682</c:v>
                </c:pt>
                <c:pt idx="1">
                  <c:v>1626</c:v>
                </c:pt>
                <c:pt idx="2">
                  <c:v>1539</c:v>
                </c:pt>
                <c:pt idx="3">
                  <c:v>1447</c:v>
                </c:pt>
                <c:pt idx="4">
                  <c:v>1377</c:v>
                </c:pt>
                <c:pt idx="5">
                  <c:v>1351</c:v>
                </c:pt>
                <c:pt idx="6">
                  <c:v>1378</c:v>
                </c:pt>
                <c:pt idx="7">
                  <c:v>1454</c:v>
                </c:pt>
                <c:pt idx="8">
                  <c:v>1561</c:v>
                </c:pt>
                <c:pt idx="9">
                  <c:v>1673</c:v>
                </c:pt>
                <c:pt idx="10">
                  <c:v>1763</c:v>
                </c:pt>
                <c:pt idx="11">
                  <c:v>1809</c:v>
                </c:pt>
                <c:pt idx="12">
                  <c:v>1802</c:v>
                </c:pt>
                <c:pt idx="13">
                  <c:v>1746</c:v>
                </c:pt>
                <c:pt idx="14">
                  <c:v>1659</c:v>
                </c:pt>
                <c:pt idx="15">
                  <c:v>1567</c:v>
                </c:pt>
                <c:pt idx="16">
                  <c:v>1497</c:v>
                </c:pt>
                <c:pt idx="17">
                  <c:v>1471</c:v>
                </c:pt>
                <c:pt idx="18">
                  <c:v>1498</c:v>
                </c:pt>
                <c:pt idx="19">
                  <c:v>1574</c:v>
                </c:pt>
                <c:pt idx="20">
                  <c:v>1681</c:v>
                </c:pt>
                <c:pt idx="21">
                  <c:v>1793</c:v>
                </c:pt>
                <c:pt idx="22">
                  <c:v>1883</c:v>
                </c:pt>
                <c:pt idx="23">
                  <c:v>1929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6CD-384C-B41D-18B88EC473C6}"/>
            </c:ext>
          </c:extLst>
        </c:ser>
        <c:ser>
          <c:idx val="3"/>
          <c:order val="3"/>
          <c:tx>
            <c:strRef>
              <c:f>Demand_History!E1</c:f>
              <c:strCache>
                <c:ptCount val="1"/>
                <c:pt idx="0">
                  <c:v>TB-25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Demand_History!$A$2:$A$25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Demand_History!$E$2:$E$25</c:f>
              <c:numCache>
                <c:formatCode>#,##0</c:formatCode>
                <c:ptCount val="24"/>
                <c:pt idx="0">
                  <c:v>638</c:v>
                </c:pt>
                <c:pt idx="1">
                  <c:v>671</c:v>
                </c:pt>
                <c:pt idx="2">
                  <c:v>686</c:v>
                </c:pt>
                <c:pt idx="3">
                  <c:v>679</c:v>
                </c:pt>
                <c:pt idx="4">
                  <c:v>654</c:v>
                </c:pt>
                <c:pt idx="5">
                  <c:v>617</c:v>
                </c:pt>
                <c:pt idx="6">
                  <c:v>580</c:v>
                </c:pt>
                <c:pt idx="7">
                  <c:v>553</c:v>
                </c:pt>
                <c:pt idx="8">
                  <c:v>544</c:v>
                </c:pt>
                <c:pt idx="9">
                  <c:v>557</c:v>
                </c:pt>
                <c:pt idx="10">
                  <c:v>588</c:v>
                </c:pt>
                <c:pt idx="11">
                  <c:v>631</c:v>
                </c:pt>
                <c:pt idx="12">
                  <c:v>674</c:v>
                </c:pt>
                <c:pt idx="13">
                  <c:v>707</c:v>
                </c:pt>
                <c:pt idx="14">
                  <c:v>722</c:v>
                </c:pt>
                <c:pt idx="15">
                  <c:v>715</c:v>
                </c:pt>
                <c:pt idx="16">
                  <c:v>690</c:v>
                </c:pt>
                <c:pt idx="17">
                  <c:v>653</c:v>
                </c:pt>
                <c:pt idx="18">
                  <c:v>616</c:v>
                </c:pt>
                <c:pt idx="19">
                  <c:v>589</c:v>
                </c:pt>
                <c:pt idx="20">
                  <c:v>580</c:v>
                </c:pt>
                <c:pt idx="21">
                  <c:v>593</c:v>
                </c:pt>
                <c:pt idx="22">
                  <c:v>624</c:v>
                </c:pt>
                <c:pt idx="23">
                  <c:v>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6CD-384C-B41D-18B88EC473C6}"/>
            </c:ext>
          </c:extLst>
        </c:ser>
        <c:ser>
          <c:idx val="4"/>
          <c:order val="4"/>
          <c:tx>
            <c:strRef>
              <c:f>Demand_History!F1</c:f>
              <c:strCache>
                <c:ptCount val="1"/>
                <c:pt idx="0">
                  <c:v>SD-63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Demand_History!$A$2:$A$25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Demand_History!$F$2:$F$25</c:f>
              <c:numCache>
                <c:formatCode>#,##0</c:formatCode>
                <c:ptCount val="24"/>
                <c:pt idx="0">
                  <c:v>460</c:v>
                </c:pt>
                <c:pt idx="1">
                  <c:v>458</c:v>
                </c:pt>
                <c:pt idx="2">
                  <c:v>442</c:v>
                </c:pt>
                <c:pt idx="3">
                  <c:v>416</c:v>
                </c:pt>
                <c:pt idx="4">
                  <c:v>390</c:v>
                </c:pt>
                <c:pt idx="5">
                  <c:v>370</c:v>
                </c:pt>
                <c:pt idx="6">
                  <c:v>364</c:v>
                </c:pt>
                <c:pt idx="7">
                  <c:v>374</c:v>
                </c:pt>
                <c:pt idx="8">
                  <c:v>398</c:v>
                </c:pt>
                <c:pt idx="9">
                  <c:v>432</c:v>
                </c:pt>
                <c:pt idx="10">
                  <c:v>466</c:v>
                </c:pt>
                <c:pt idx="11">
                  <c:v>494</c:v>
                </c:pt>
                <c:pt idx="12">
                  <c:v>508</c:v>
                </c:pt>
                <c:pt idx="13">
                  <c:v>506</c:v>
                </c:pt>
                <c:pt idx="14">
                  <c:v>490</c:v>
                </c:pt>
                <c:pt idx="15">
                  <c:v>464</c:v>
                </c:pt>
                <c:pt idx="16">
                  <c:v>438</c:v>
                </c:pt>
                <c:pt idx="17">
                  <c:v>418</c:v>
                </c:pt>
                <c:pt idx="18">
                  <c:v>412</c:v>
                </c:pt>
                <c:pt idx="19">
                  <c:v>422</c:v>
                </c:pt>
                <c:pt idx="20">
                  <c:v>446</c:v>
                </c:pt>
                <c:pt idx="21">
                  <c:v>480</c:v>
                </c:pt>
                <c:pt idx="22">
                  <c:v>514</c:v>
                </c:pt>
                <c:pt idx="23">
                  <c:v>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6CD-384C-B41D-18B88EC47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707971"/>
        <c:axId val="74202764"/>
      </c:lineChart>
      <c:dateAx>
        <c:axId val="357079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202764"/>
        <c:crosses val="autoZero"/>
        <c:auto val="1"/>
        <c:lblOffset val="100"/>
        <c:baseTimeUnit val="months"/>
      </c:dateAx>
      <c:valAx>
        <c:axId val="74202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7079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Forecast Accuracy %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KPI_Dashboard!B3</c:f>
              <c:strCache>
                <c:ptCount val="1"/>
                <c:pt idx="0">
                  <c:v>Forecast Accuracy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KPI_Dashboard!$A$4:$A$8</c:f>
              <c:strCache>
                <c:ptCount val="5"/>
                <c:pt idx="0">
                  <c:v>MCB-32A</c:v>
                </c:pt>
                <c:pt idx="1">
                  <c:v>CN-40</c:v>
                </c:pt>
                <c:pt idx="2">
                  <c:v>RL-10</c:v>
                </c:pt>
                <c:pt idx="3">
                  <c:v>TB-25</c:v>
                </c:pt>
                <c:pt idx="4">
                  <c:v>SD-63</c:v>
                </c:pt>
              </c:strCache>
            </c:strRef>
          </c:cat>
          <c:val>
            <c:numRef>
              <c:f>KPI_Dashboard!$B$4:$B$8</c:f>
              <c:numCache>
                <c:formatCode>0.0%</c:formatCode>
                <c:ptCount val="5"/>
                <c:pt idx="0">
                  <c:v>0.94468964924784249</c:v>
                </c:pt>
                <c:pt idx="1">
                  <c:v>0.93872236844278656</c:v>
                </c:pt>
                <c:pt idx="2">
                  <c:v>0.9331579121827297</c:v>
                </c:pt>
                <c:pt idx="3">
                  <c:v>0.93802565928401571</c:v>
                </c:pt>
                <c:pt idx="4">
                  <c:v>0.92611545541432971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9-6941-B29D-3E38AEFD6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61431"/>
        <c:axId val="34596920"/>
      </c:barChart>
      <c:catAx>
        <c:axId val="3296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596920"/>
        <c:crosses val="autoZero"/>
        <c:auto val="1"/>
        <c:lblAlgn val="ctr"/>
        <c:lblOffset val="100"/>
        <c:noMultiLvlLbl val="0"/>
      </c:catAx>
      <c:valAx>
        <c:axId val="34596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Accuracy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961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Current Stock vs Reorder Point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KPI_Dashboard!D3</c:f>
              <c:strCache>
                <c:ptCount val="1"/>
                <c:pt idx="0">
                  <c:v>Reorder Point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KPI_Dashboard!$A$4:$A$8</c:f>
              <c:strCache>
                <c:ptCount val="5"/>
                <c:pt idx="0">
                  <c:v>MCB-32A</c:v>
                </c:pt>
                <c:pt idx="1">
                  <c:v>CN-40</c:v>
                </c:pt>
                <c:pt idx="2">
                  <c:v>RL-10</c:v>
                </c:pt>
                <c:pt idx="3">
                  <c:v>TB-25</c:v>
                </c:pt>
                <c:pt idx="4">
                  <c:v>SD-63</c:v>
                </c:pt>
              </c:strCache>
            </c:strRef>
          </c:cat>
          <c:val>
            <c:numRef>
              <c:f>KPI_Dashboard!$D$4:$D$8</c:f>
              <c:numCache>
                <c:formatCode>#,##0</c:formatCode>
                <c:ptCount val="5"/>
                <c:pt idx="0">
                  <c:v>1470</c:v>
                </c:pt>
                <c:pt idx="1">
                  <c:v>1448</c:v>
                </c:pt>
                <c:pt idx="2">
                  <c:v>3858</c:v>
                </c:pt>
                <c:pt idx="3">
                  <c:v>722</c:v>
                </c:pt>
                <c:pt idx="4">
                  <c:v>1355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E-364E-95A4-BDAB91AB92D5}"/>
            </c:ext>
          </c:extLst>
        </c:ser>
        <c:ser>
          <c:idx val="1"/>
          <c:order val="1"/>
          <c:tx>
            <c:strRef>
              <c:f>KPI_Dashboard!E3</c:f>
              <c:strCache>
                <c:ptCount val="1"/>
                <c:pt idx="0">
                  <c:v>Current Stock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KPI_Dashboard!$A$4:$A$8</c:f>
              <c:strCache>
                <c:ptCount val="5"/>
                <c:pt idx="0">
                  <c:v>MCB-32A</c:v>
                </c:pt>
                <c:pt idx="1">
                  <c:v>CN-40</c:v>
                </c:pt>
                <c:pt idx="2">
                  <c:v>RL-10</c:v>
                </c:pt>
                <c:pt idx="3">
                  <c:v>TB-25</c:v>
                </c:pt>
                <c:pt idx="4">
                  <c:v>SD-63</c:v>
                </c:pt>
              </c:strCache>
            </c:strRef>
          </c:cat>
          <c:val>
            <c:numRef>
              <c:f>KPI_Dashboard!$E$4:$E$8</c:f>
              <c:numCache>
                <c:formatCode>#,##0</c:formatCode>
                <c:ptCount val="5"/>
                <c:pt idx="0">
                  <c:v>1650</c:v>
                </c:pt>
                <c:pt idx="1">
                  <c:v>1300</c:v>
                </c:pt>
                <c:pt idx="2">
                  <c:v>4200</c:v>
                </c:pt>
                <c:pt idx="3">
                  <c:v>650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E-364E-95A4-BDAB91AB9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34193"/>
        <c:axId val="78581741"/>
      </c:barChart>
      <c:catAx>
        <c:axId val="302341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581741"/>
        <c:crosses val="autoZero"/>
        <c:auto val="1"/>
        <c:lblAlgn val="ctr"/>
        <c:lblOffset val="100"/>
        <c:noMultiLvlLbl val="0"/>
      </c:catAx>
      <c:valAx>
        <c:axId val="78581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341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Actual vs Forecast Demand - MCB-32A (Miniature Circuit Breaker 32A)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Forecast!$C$2:$C$25</c:f>
              <c:numCache>
                <c:formatCode>#,##0</c:formatCode>
                <c:ptCount val="24"/>
                <c:pt idx="0">
                  <c:v>1200</c:v>
                </c:pt>
                <c:pt idx="1">
                  <c:v>1283</c:v>
                </c:pt>
                <c:pt idx="2">
                  <c:v>1346</c:v>
                </c:pt>
                <c:pt idx="3">
                  <c:v>1374</c:v>
                </c:pt>
                <c:pt idx="4">
                  <c:v>1362</c:v>
                </c:pt>
                <c:pt idx="5">
                  <c:v>1315</c:v>
                </c:pt>
                <c:pt idx="6">
                  <c:v>1248</c:v>
                </c:pt>
                <c:pt idx="7">
                  <c:v>1181</c:v>
                </c:pt>
                <c:pt idx="8">
                  <c:v>1134</c:v>
                </c:pt>
                <c:pt idx="9">
                  <c:v>1122</c:v>
                </c:pt>
                <c:pt idx="10">
                  <c:v>1150</c:v>
                </c:pt>
                <c:pt idx="11">
                  <c:v>1213</c:v>
                </c:pt>
                <c:pt idx="12">
                  <c:v>1296</c:v>
                </c:pt>
                <c:pt idx="13">
                  <c:v>1379</c:v>
                </c:pt>
                <c:pt idx="14">
                  <c:v>1442</c:v>
                </c:pt>
                <c:pt idx="15">
                  <c:v>1470</c:v>
                </c:pt>
                <c:pt idx="16">
                  <c:v>1458</c:v>
                </c:pt>
                <c:pt idx="17">
                  <c:v>1411</c:v>
                </c:pt>
                <c:pt idx="18">
                  <c:v>1344</c:v>
                </c:pt>
                <c:pt idx="19">
                  <c:v>1277</c:v>
                </c:pt>
                <c:pt idx="20">
                  <c:v>1230</c:v>
                </c:pt>
                <c:pt idx="21">
                  <c:v>1218</c:v>
                </c:pt>
                <c:pt idx="22">
                  <c:v>1246</c:v>
                </c:pt>
                <c:pt idx="23">
                  <c:v>1309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01-8147-A172-3B21E6157EF3}"/>
            </c:ext>
          </c:extLst>
        </c:ser>
        <c:ser>
          <c:idx val="1"/>
          <c:order val="1"/>
          <c:tx>
            <c:strRef>
              <c:f>Forecast!E1</c:f>
              <c:strCache>
                <c:ptCount val="1"/>
                <c:pt idx="0">
                  <c:v>Weighted MA Forecast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Forecast!$E$2:$E$25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1300.6666666666667</c:v>
                </c:pt>
                <c:pt idx="4" formatCode="#,##0">
                  <c:v>1349.5</c:v>
                </c:pt>
                <c:pt idx="5" formatCode="#,##0">
                  <c:v>1363.3333333333333</c:v>
                </c:pt>
                <c:pt idx="6" formatCode="#,##0">
                  <c:v>1340.5</c:v>
                </c:pt>
                <c:pt idx="7" formatCode="#,##0">
                  <c:v>1289.3333333333333</c:v>
                </c:pt>
                <c:pt idx="8" formatCode="#,##0">
                  <c:v>1225.6666666666667</c:v>
                </c:pt>
                <c:pt idx="9" formatCode="#,##0">
                  <c:v>1168.6666666666667</c:v>
                </c:pt>
                <c:pt idx="10" formatCode="#,##0">
                  <c:v>1135.8333333333333</c:v>
                </c:pt>
                <c:pt idx="11" formatCode="#,##0">
                  <c:v>1138</c:v>
                </c:pt>
                <c:pt idx="12" formatCode="#,##0">
                  <c:v>1176.8333333333333</c:v>
                </c:pt>
                <c:pt idx="13" formatCode="#,##0">
                  <c:v>1244</c:v>
                </c:pt>
                <c:pt idx="14" formatCode="#,##0">
                  <c:v>1323.6666666666667</c:v>
                </c:pt>
                <c:pt idx="15" formatCode="#,##0">
                  <c:v>1396.6666666666667</c:v>
                </c:pt>
                <c:pt idx="16" formatCode="#,##0">
                  <c:v>1445.5</c:v>
                </c:pt>
                <c:pt idx="17" formatCode="#,##0">
                  <c:v>1459.3333333333333</c:v>
                </c:pt>
                <c:pt idx="18" formatCode="#,##0">
                  <c:v>1436.5</c:v>
                </c:pt>
                <c:pt idx="19" formatCode="#,##0">
                  <c:v>1385.3333333333333</c:v>
                </c:pt>
                <c:pt idx="20" formatCode="#,##0">
                  <c:v>1321.6666666666667</c:v>
                </c:pt>
                <c:pt idx="21" formatCode="#,##0">
                  <c:v>1264.6666666666667</c:v>
                </c:pt>
                <c:pt idx="22" formatCode="#,##0">
                  <c:v>1231.8333333333333</c:v>
                </c:pt>
                <c:pt idx="23" formatCode="#,##0">
                  <c:v>1234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01-8147-A172-3B21E615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527232"/>
        <c:axId val="58171441"/>
      </c:lineChart>
      <c:dateAx>
        <c:axId val="935272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71441"/>
        <c:crosses val="autoZero"/>
        <c:auto val="1"/>
        <c:lblOffset val="100"/>
        <c:baseTimeUnit val="months"/>
      </c:dateAx>
      <c:valAx>
        <c:axId val="581714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527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9</xdr:col>
      <xdr:colOff>579600</xdr:colOff>
      <xdr:row>32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579600</xdr:colOff>
      <xdr:row>53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56</xdr:row>
      <xdr:rowOff>0</xdr:rowOff>
    </xdr:from>
    <xdr:to>
      <xdr:col>9</xdr:col>
      <xdr:colOff>579600</xdr:colOff>
      <xdr:row>74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77</xdr:row>
      <xdr:rowOff>0</xdr:rowOff>
    </xdr:from>
    <xdr:to>
      <xdr:col>9</xdr:col>
      <xdr:colOff>579600</xdr:colOff>
      <xdr:row>95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andHistoryTbl" displayName="DemandHistoryTbl" ref="A1:F25" totalsRowShown="0">
  <autoFilter ref="A1:F25" xr:uid="{00000000-0009-0000-0100-000001000000}"/>
  <tableColumns count="6">
    <tableColumn id="1" xr3:uid="{00000000-0010-0000-0000-000001000000}" name="Month"/>
    <tableColumn id="2" xr3:uid="{00000000-0010-0000-0000-000002000000}" name="MCB-32A"/>
    <tableColumn id="3" xr3:uid="{00000000-0010-0000-0000-000003000000}" name="CN-40"/>
    <tableColumn id="4" xr3:uid="{00000000-0010-0000-0000-000004000000}" name="RL-10"/>
    <tableColumn id="5" xr3:uid="{00000000-0010-0000-0000-000005000000}" name="TB-25"/>
    <tableColumn id="6" xr3:uid="{00000000-0010-0000-0000-000006000000}" name="SD-6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upplyPlanningTbl" displayName="SupplyPlanningTbl" ref="A3:L8" totalsRowShown="0">
  <autoFilter ref="A3:L8" xr:uid="{00000000-0009-0000-0100-000003000000}"/>
  <tableColumns count="12">
    <tableColumn id="1" xr3:uid="{00000000-0010-0000-0100-000001000000}" name="SKU"/>
    <tableColumn id="2" xr3:uid="{00000000-0010-0000-0100-000002000000}" name="Avg Monthly_x000a_Demand"/>
    <tableColumn id="3" xr3:uid="{00000000-0010-0000-0100-000003000000}" name="Max Monthly_x000a_Demand"/>
    <tableColumn id="4" xr3:uid="{00000000-0010-0000-0100-000004000000}" name="Lead Time_x000a_(months)"/>
    <tableColumn id="5" xr3:uid="{00000000-0010-0000-0100-000005000000}" name="Safety_x000a_Stock"/>
    <tableColumn id="6" xr3:uid="{00000000-0010-0000-0100-000006000000}" name="Reorder_x000a_Point"/>
    <tableColumn id="7" xr3:uid="{00000000-0010-0000-0100-000007000000}" name="Ordering Cost_x000a_per Order (Rs)"/>
    <tableColumn id="8" xr3:uid="{00000000-0010-0000-0100-000008000000}" name="Holding Cost_x000a_per Unit/Year (Rs)"/>
    <tableColumn id="9" xr3:uid="{00000000-0010-0000-0100-000009000000}" name="Annual_x000a_Demand"/>
    <tableColumn id="10" xr3:uid="{00000000-0010-0000-0100-00000A000000}" name="EOQ - Order_x000a_Qty (units)"/>
    <tableColumn id="11" xr3:uid="{00000000-0010-0000-0100-00000B000000}" name="Current_x000a_Stock"/>
    <tableColumn id="12" xr3:uid="{00000000-0010-0000-0100-00000C000000}" name="Stock 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KPITbl" displayName="KPITbl" ref="A3:G8" totalsRowShown="0">
  <autoFilter ref="A3:G8" xr:uid="{00000000-0009-0000-0100-000002000000}"/>
  <tableColumns count="7">
    <tableColumn id="1" xr3:uid="{00000000-0010-0000-0200-000001000000}" name="SKU"/>
    <tableColumn id="2" xr3:uid="{00000000-0010-0000-0200-000002000000}" name="Forecast Accuracy %"/>
    <tableColumn id="3" xr3:uid="{00000000-0010-0000-0200-000003000000}" name="Avg Monthly Demand"/>
    <tableColumn id="4" xr3:uid="{00000000-0010-0000-0200-000004000000}" name="Reorder Point"/>
    <tableColumn id="5" xr3:uid="{00000000-0010-0000-0200-000005000000}" name="Current Stock"/>
    <tableColumn id="6" xr3:uid="{00000000-0010-0000-0200-000006000000}" name="Stock Status"/>
    <tableColumn id="7" xr3:uid="{00000000-0010-0000-0200-000007000000}" name="Inventory Turnover (x/yr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table" Target="../tables/table1.xml" /><Relationship Id="rId1" Type="http://schemas.openxmlformats.org/officeDocument/2006/relationships/vmlDrawing" Target="../drawings/vmlDrawing1.v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table" Target="../tables/table2.xml" /><Relationship Id="rId1" Type="http://schemas.openxmlformats.org/officeDocument/2006/relationships/vmlDrawing" Target="../drawings/vmlDrawing2.v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4"/>
  <sheetViews>
    <sheetView showGridLines="0" zoomScaleNormal="100" workbookViewId="0"/>
  </sheetViews>
  <sheetFormatPr defaultColWidth="8.7421875" defaultRowHeight="15" x14ac:dyDescent="0.2"/>
  <cols>
    <col min="1" max="1" width="2.95703125" customWidth="1"/>
    <col min="2" max="2" width="99.94921875" customWidth="1"/>
  </cols>
  <sheetData>
    <row r="2" spans="2:2" ht="25.5" customHeight="1" x14ac:dyDescent="0.25">
      <c r="B2" s="2" t="s">
        <v>0</v>
      </c>
    </row>
    <row r="3" spans="2:2" ht="15.75" customHeight="1" x14ac:dyDescent="0.2">
      <c r="B3" s="3" t="s">
        <v>1</v>
      </c>
    </row>
    <row r="5" spans="2:2" ht="18" customHeight="1" x14ac:dyDescent="0.2">
      <c r="B5" s="4" t="s">
        <v>2</v>
      </c>
    </row>
    <row r="6" spans="2:2" ht="60" customHeight="1" x14ac:dyDescent="0.2">
      <c r="B6" s="5" t="s">
        <v>3</v>
      </c>
    </row>
    <row r="7" spans="2:2" ht="45" customHeight="1" x14ac:dyDescent="0.2">
      <c r="B7" s="5" t="s">
        <v>4</v>
      </c>
    </row>
    <row r="9" spans="2:2" ht="18" customHeight="1" x14ac:dyDescent="0.2">
      <c r="B9" s="4" t="s">
        <v>5</v>
      </c>
    </row>
    <row r="10" spans="2:2" ht="75" customHeight="1" x14ac:dyDescent="0.2">
      <c r="B10" s="5" t="s">
        <v>6</v>
      </c>
    </row>
    <row r="12" spans="2:2" ht="18" customHeight="1" x14ac:dyDescent="0.2">
      <c r="B12" s="4" t="s">
        <v>7</v>
      </c>
    </row>
    <row r="13" spans="2:2" ht="30" customHeight="1" x14ac:dyDescent="0.2">
      <c r="B13" s="5" t="s">
        <v>8</v>
      </c>
    </row>
    <row r="14" spans="2:2" ht="45" customHeight="1" x14ac:dyDescent="0.2">
      <c r="B14" s="5" t="s">
        <v>9</v>
      </c>
    </row>
    <row r="15" spans="2:2" ht="45" customHeight="1" x14ac:dyDescent="0.2">
      <c r="B15" s="5" t="s">
        <v>10</v>
      </c>
    </row>
    <row r="16" spans="2:2" ht="30" customHeight="1" x14ac:dyDescent="0.2">
      <c r="B16" s="5" t="s">
        <v>11</v>
      </c>
    </row>
    <row r="17" spans="2:2" ht="30" customHeight="1" x14ac:dyDescent="0.2">
      <c r="B17" s="5" t="s">
        <v>12</v>
      </c>
    </row>
    <row r="19" spans="2:2" ht="18" customHeight="1" x14ac:dyDescent="0.2">
      <c r="B19" s="4" t="s">
        <v>13</v>
      </c>
    </row>
    <row r="20" spans="2:2" ht="15" customHeight="1" x14ac:dyDescent="0.2">
      <c r="B20" s="5" t="s">
        <v>14</v>
      </c>
    </row>
    <row r="21" spans="2:2" ht="45" customHeight="1" x14ac:dyDescent="0.2">
      <c r="B21" s="5" t="s">
        <v>15</v>
      </c>
    </row>
    <row r="22" spans="2:2" ht="30" customHeight="1" x14ac:dyDescent="0.2">
      <c r="B22" s="5" t="s">
        <v>16</v>
      </c>
    </row>
    <row r="23" spans="2:2" ht="30" customHeight="1" x14ac:dyDescent="0.2">
      <c r="B23" s="5" t="s">
        <v>17</v>
      </c>
    </row>
    <row r="24" spans="2:2" ht="30" customHeight="1" x14ac:dyDescent="0.2">
      <c r="B24" s="5" t="s">
        <v>18</v>
      </c>
    </row>
    <row r="25" spans="2:2" ht="30" customHeight="1" x14ac:dyDescent="0.2">
      <c r="B25" s="5" t="s">
        <v>19</v>
      </c>
    </row>
    <row r="26" spans="2:2" ht="45" customHeight="1" x14ac:dyDescent="0.2">
      <c r="B26" s="5" t="s">
        <v>20</v>
      </c>
    </row>
    <row r="28" spans="2:2" ht="18" customHeight="1" x14ac:dyDescent="0.2">
      <c r="B28" s="4" t="s">
        <v>21</v>
      </c>
    </row>
    <row r="29" spans="2:2" ht="15" customHeight="1" x14ac:dyDescent="0.2">
      <c r="B29" s="5" t="s">
        <v>22</v>
      </c>
    </row>
    <row r="30" spans="2:2" ht="30" customHeight="1" x14ac:dyDescent="0.2">
      <c r="B30" s="5" t="s">
        <v>23</v>
      </c>
    </row>
    <row r="31" spans="2:2" ht="30" customHeight="1" x14ac:dyDescent="0.2">
      <c r="B31" s="5" t="s">
        <v>24</v>
      </c>
    </row>
    <row r="33" spans="2:2" ht="18" customHeight="1" x14ac:dyDescent="0.2">
      <c r="B33" s="4" t="s">
        <v>25</v>
      </c>
    </row>
    <row r="34" spans="2:2" ht="75" customHeight="1" x14ac:dyDescent="0.2">
      <c r="B34" s="5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6" width="11.97265625" customWidth="1"/>
  </cols>
  <sheetData>
    <row r="1" spans="1:6" ht="27" x14ac:dyDescent="0.2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</row>
    <row r="2" spans="1:6" x14ac:dyDescent="0.2">
      <c r="A2" s="7">
        <v>45292</v>
      </c>
      <c r="B2" s="8">
        <v>1200</v>
      </c>
      <c r="C2" s="8">
        <v>884</v>
      </c>
      <c r="D2" s="8">
        <v>1682</v>
      </c>
      <c r="E2" s="8">
        <v>638</v>
      </c>
      <c r="F2" s="8">
        <v>460</v>
      </c>
    </row>
    <row r="3" spans="1:6" x14ac:dyDescent="0.2">
      <c r="A3" s="7">
        <v>45323</v>
      </c>
      <c r="B3" s="8">
        <v>1283</v>
      </c>
      <c r="C3" s="8">
        <v>905</v>
      </c>
      <c r="D3" s="8">
        <v>1626</v>
      </c>
      <c r="E3" s="8">
        <v>671</v>
      </c>
      <c r="F3" s="8">
        <v>458</v>
      </c>
    </row>
    <row r="4" spans="1:6" x14ac:dyDescent="0.2">
      <c r="A4" s="7">
        <v>45352</v>
      </c>
      <c r="B4" s="8">
        <v>1346</v>
      </c>
      <c r="C4" s="8">
        <v>899</v>
      </c>
      <c r="D4" s="8">
        <v>1539</v>
      </c>
      <c r="E4" s="8">
        <v>686</v>
      </c>
      <c r="F4" s="8">
        <v>442</v>
      </c>
    </row>
    <row r="5" spans="1:6" x14ac:dyDescent="0.2">
      <c r="A5" s="7">
        <v>45383</v>
      </c>
      <c r="B5" s="8">
        <v>1374</v>
      </c>
      <c r="C5" s="8">
        <v>869</v>
      </c>
      <c r="D5" s="8">
        <v>1447</v>
      </c>
      <c r="E5" s="8">
        <v>679</v>
      </c>
      <c r="F5" s="8">
        <v>416</v>
      </c>
    </row>
    <row r="6" spans="1:6" x14ac:dyDescent="0.2">
      <c r="A6" s="7">
        <v>45413</v>
      </c>
      <c r="B6" s="8">
        <v>1362</v>
      </c>
      <c r="C6" s="8">
        <v>825</v>
      </c>
      <c r="D6" s="8">
        <v>1377</v>
      </c>
      <c r="E6" s="8">
        <v>654</v>
      </c>
      <c r="F6" s="8">
        <v>390</v>
      </c>
    </row>
    <row r="7" spans="1:6" x14ac:dyDescent="0.2">
      <c r="A7" s="7">
        <v>45444</v>
      </c>
      <c r="B7" s="8">
        <v>1315</v>
      </c>
      <c r="C7" s="8">
        <v>779</v>
      </c>
      <c r="D7" s="8">
        <v>1351</v>
      </c>
      <c r="E7" s="8">
        <v>617</v>
      </c>
      <c r="F7" s="8">
        <v>370</v>
      </c>
    </row>
    <row r="8" spans="1:6" x14ac:dyDescent="0.2">
      <c r="A8" s="7">
        <v>45474</v>
      </c>
      <c r="B8" s="8">
        <v>1248</v>
      </c>
      <c r="C8" s="8">
        <v>746</v>
      </c>
      <c r="D8" s="8">
        <v>1378</v>
      </c>
      <c r="E8" s="8">
        <v>580</v>
      </c>
      <c r="F8" s="8">
        <v>364</v>
      </c>
    </row>
    <row r="9" spans="1:6" x14ac:dyDescent="0.2">
      <c r="A9" s="7">
        <v>45505</v>
      </c>
      <c r="B9" s="8">
        <v>1181</v>
      </c>
      <c r="C9" s="8">
        <v>735</v>
      </c>
      <c r="D9" s="8">
        <v>1454</v>
      </c>
      <c r="E9" s="8">
        <v>553</v>
      </c>
      <c r="F9" s="8">
        <v>374</v>
      </c>
    </row>
    <row r="10" spans="1:6" x14ac:dyDescent="0.2">
      <c r="A10" s="7">
        <v>45536</v>
      </c>
      <c r="B10" s="8">
        <v>1134</v>
      </c>
      <c r="C10" s="8">
        <v>751</v>
      </c>
      <c r="D10" s="8">
        <v>1561</v>
      </c>
      <c r="E10" s="8">
        <v>544</v>
      </c>
      <c r="F10" s="8">
        <v>398</v>
      </c>
    </row>
    <row r="11" spans="1:6" x14ac:dyDescent="0.2">
      <c r="A11" s="7">
        <v>45566</v>
      </c>
      <c r="B11" s="8">
        <v>1122</v>
      </c>
      <c r="C11" s="8">
        <v>791</v>
      </c>
      <c r="D11" s="8">
        <v>1673</v>
      </c>
      <c r="E11" s="8">
        <v>557</v>
      </c>
      <c r="F11" s="8">
        <v>432</v>
      </c>
    </row>
    <row r="12" spans="1:6" x14ac:dyDescent="0.2">
      <c r="A12" s="7">
        <v>45597</v>
      </c>
      <c r="B12" s="8">
        <v>1150</v>
      </c>
      <c r="C12" s="8">
        <v>845</v>
      </c>
      <c r="D12" s="8">
        <v>1763</v>
      </c>
      <c r="E12" s="8">
        <v>588</v>
      </c>
      <c r="F12" s="8">
        <v>466</v>
      </c>
    </row>
    <row r="13" spans="1:6" x14ac:dyDescent="0.2">
      <c r="A13" s="7">
        <v>45627</v>
      </c>
      <c r="B13" s="8">
        <v>1213</v>
      </c>
      <c r="C13" s="8">
        <v>901</v>
      </c>
      <c r="D13" s="8">
        <v>1809</v>
      </c>
      <c r="E13" s="8">
        <v>631</v>
      </c>
      <c r="F13" s="8">
        <v>494</v>
      </c>
    </row>
    <row r="14" spans="1:6" x14ac:dyDescent="0.2">
      <c r="A14" s="7">
        <v>45658</v>
      </c>
      <c r="B14" s="8">
        <v>1296</v>
      </c>
      <c r="C14" s="8">
        <v>944</v>
      </c>
      <c r="D14" s="8">
        <v>1802</v>
      </c>
      <c r="E14" s="8">
        <v>674</v>
      </c>
      <c r="F14" s="8">
        <v>508</v>
      </c>
    </row>
    <row r="15" spans="1:6" x14ac:dyDescent="0.2">
      <c r="A15" s="7">
        <v>45689</v>
      </c>
      <c r="B15" s="8">
        <v>1379</v>
      </c>
      <c r="C15" s="8">
        <v>965</v>
      </c>
      <c r="D15" s="8">
        <v>1746</v>
      </c>
      <c r="E15" s="8">
        <v>707</v>
      </c>
      <c r="F15" s="8">
        <v>506</v>
      </c>
    </row>
    <row r="16" spans="1:6" x14ac:dyDescent="0.2">
      <c r="A16" s="7">
        <v>45717</v>
      </c>
      <c r="B16" s="8">
        <v>1442</v>
      </c>
      <c r="C16" s="8">
        <v>959</v>
      </c>
      <c r="D16" s="8">
        <v>1659</v>
      </c>
      <c r="E16" s="8">
        <v>722</v>
      </c>
      <c r="F16" s="8">
        <v>490</v>
      </c>
    </row>
    <row r="17" spans="1:6" x14ac:dyDescent="0.2">
      <c r="A17" s="7">
        <v>45748</v>
      </c>
      <c r="B17" s="8">
        <v>1470</v>
      </c>
      <c r="C17" s="8">
        <v>929</v>
      </c>
      <c r="D17" s="8">
        <v>1567</v>
      </c>
      <c r="E17" s="8">
        <v>715</v>
      </c>
      <c r="F17" s="8">
        <v>464</v>
      </c>
    </row>
    <row r="18" spans="1:6" x14ac:dyDescent="0.2">
      <c r="A18" s="7">
        <v>45778</v>
      </c>
      <c r="B18" s="8">
        <v>1458</v>
      </c>
      <c r="C18" s="8">
        <v>885</v>
      </c>
      <c r="D18" s="8">
        <v>1497</v>
      </c>
      <c r="E18" s="8">
        <v>690</v>
      </c>
      <c r="F18" s="8">
        <v>438</v>
      </c>
    </row>
    <row r="19" spans="1:6" x14ac:dyDescent="0.2">
      <c r="A19" s="7">
        <v>45809</v>
      </c>
      <c r="B19" s="8">
        <v>1411</v>
      </c>
      <c r="C19" s="8">
        <v>839</v>
      </c>
      <c r="D19" s="8">
        <v>1471</v>
      </c>
      <c r="E19" s="8">
        <v>653</v>
      </c>
      <c r="F19" s="8">
        <v>418</v>
      </c>
    </row>
    <row r="20" spans="1:6" x14ac:dyDescent="0.2">
      <c r="A20" s="7">
        <v>45839</v>
      </c>
      <c r="B20" s="8">
        <v>1344</v>
      </c>
      <c r="C20" s="8">
        <v>806</v>
      </c>
      <c r="D20" s="8">
        <v>1498</v>
      </c>
      <c r="E20" s="8">
        <v>616</v>
      </c>
      <c r="F20" s="8">
        <v>412</v>
      </c>
    </row>
    <row r="21" spans="1:6" x14ac:dyDescent="0.2">
      <c r="A21" s="7">
        <v>45870</v>
      </c>
      <c r="B21" s="8">
        <v>1277</v>
      </c>
      <c r="C21" s="8">
        <v>795</v>
      </c>
      <c r="D21" s="8">
        <v>1574</v>
      </c>
      <c r="E21" s="8">
        <v>589</v>
      </c>
      <c r="F21" s="8">
        <v>422</v>
      </c>
    </row>
    <row r="22" spans="1:6" x14ac:dyDescent="0.2">
      <c r="A22" s="7">
        <v>45901</v>
      </c>
      <c r="B22" s="8">
        <v>1230</v>
      </c>
      <c r="C22" s="8">
        <v>811</v>
      </c>
      <c r="D22" s="8">
        <v>1681</v>
      </c>
      <c r="E22" s="8">
        <v>580</v>
      </c>
      <c r="F22" s="8">
        <v>446</v>
      </c>
    </row>
    <row r="23" spans="1:6" x14ac:dyDescent="0.2">
      <c r="A23" s="7">
        <v>45931</v>
      </c>
      <c r="B23" s="8">
        <v>1218</v>
      </c>
      <c r="C23" s="8">
        <v>851</v>
      </c>
      <c r="D23" s="8">
        <v>1793</v>
      </c>
      <c r="E23" s="8">
        <v>593</v>
      </c>
      <c r="F23" s="8">
        <v>480</v>
      </c>
    </row>
    <row r="24" spans="1:6" x14ac:dyDescent="0.2">
      <c r="A24" s="7">
        <v>45962</v>
      </c>
      <c r="B24" s="8">
        <v>1246</v>
      </c>
      <c r="C24" s="8">
        <v>905</v>
      </c>
      <c r="D24" s="8">
        <v>1883</v>
      </c>
      <c r="E24" s="8">
        <v>624</v>
      </c>
      <c r="F24" s="8">
        <v>514</v>
      </c>
    </row>
    <row r="25" spans="1:6" x14ac:dyDescent="0.2">
      <c r="A25" s="7">
        <v>45992</v>
      </c>
      <c r="B25" s="8">
        <v>1309</v>
      </c>
      <c r="C25" s="8">
        <v>961</v>
      </c>
      <c r="D25" s="8">
        <v>1929</v>
      </c>
      <c r="E25" s="8">
        <v>667</v>
      </c>
      <c r="F25" s="8">
        <v>542</v>
      </c>
    </row>
    <row r="27" spans="1:6" x14ac:dyDescent="0.2">
      <c r="A27" s="3" t="s">
        <v>33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2" width="9.953125" customWidth="1"/>
    <col min="3" max="3" width="13.98828125" customWidth="1"/>
    <col min="4" max="5" width="18.0234375" customWidth="1"/>
    <col min="6" max="6" width="13.98828125" customWidth="1"/>
    <col min="7" max="7" width="11.97265625" customWidth="1"/>
    <col min="9" max="9" width="9.953125" customWidth="1"/>
    <col min="10" max="10" width="18.0234375" customWidth="1"/>
  </cols>
  <sheetData>
    <row r="1" spans="1:12" ht="27" x14ac:dyDescent="0.2">
      <c r="A1" s="6" t="s">
        <v>27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I1" s="6" t="s">
        <v>34</v>
      </c>
      <c r="J1" s="6" t="s">
        <v>40</v>
      </c>
      <c r="L1" s="3" t="s">
        <v>41</v>
      </c>
    </row>
    <row r="2" spans="1:12" x14ac:dyDescent="0.2">
      <c r="A2" s="7">
        <v>45292</v>
      </c>
      <c r="B2" s="9" t="s">
        <v>28</v>
      </c>
      <c r="C2" s="10">
        <f>Demand_History!B2</f>
        <v>1200</v>
      </c>
      <c r="D2" s="9" t="s">
        <v>42</v>
      </c>
      <c r="E2" s="9" t="s">
        <v>42</v>
      </c>
      <c r="F2" s="9" t="s">
        <v>42</v>
      </c>
      <c r="G2" s="9" t="s">
        <v>42</v>
      </c>
      <c r="I2" s="9" t="s">
        <v>28</v>
      </c>
      <c r="J2" s="11">
        <f>1-AVERAGEIFS($G$2:$G$121,$B$2:$B$121,I2)</f>
        <v>0.94468964924784249</v>
      </c>
    </row>
    <row r="3" spans="1:12" x14ac:dyDescent="0.2">
      <c r="A3" s="7">
        <v>45323</v>
      </c>
      <c r="B3" s="9" t="s">
        <v>28</v>
      </c>
      <c r="C3" s="10">
        <f>Demand_History!B3</f>
        <v>1283</v>
      </c>
      <c r="D3" s="9" t="s">
        <v>42</v>
      </c>
      <c r="E3" s="9" t="s">
        <v>42</v>
      </c>
      <c r="F3" s="9" t="s">
        <v>42</v>
      </c>
      <c r="G3" s="9" t="s">
        <v>42</v>
      </c>
      <c r="I3" s="9" t="s">
        <v>29</v>
      </c>
      <c r="J3" s="11">
        <f>1-AVERAGEIFS($G$2:$G$121,$B$2:$B$121,I3)</f>
        <v>0.93872236844278656</v>
      </c>
    </row>
    <row r="4" spans="1:12" x14ac:dyDescent="0.2">
      <c r="A4" s="7">
        <v>45352</v>
      </c>
      <c r="B4" s="9" t="s">
        <v>28</v>
      </c>
      <c r="C4" s="10">
        <f>Demand_History!B4</f>
        <v>1346</v>
      </c>
      <c r="D4" s="9" t="s">
        <v>42</v>
      </c>
      <c r="E4" s="9" t="s">
        <v>42</v>
      </c>
      <c r="F4" s="9" t="s">
        <v>42</v>
      </c>
      <c r="G4" s="9" t="s">
        <v>42</v>
      </c>
      <c r="I4" s="9" t="s">
        <v>30</v>
      </c>
      <c r="J4" s="11">
        <f>1-AVERAGEIFS($G$2:$G$121,$B$2:$B$121,I4)</f>
        <v>0.9331579121827297</v>
      </c>
    </row>
    <row r="5" spans="1:12" x14ac:dyDescent="0.2">
      <c r="A5" s="7">
        <v>45383</v>
      </c>
      <c r="B5" s="9" t="s">
        <v>28</v>
      </c>
      <c r="C5" s="10">
        <f>Demand_History!B5</f>
        <v>1374</v>
      </c>
      <c r="D5" s="10">
        <f>AVERAGE(Demand_History!B2:B4)</f>
        <v>1276.3333333333333</v>
      </c>
      <c r="E5" s="10">
        <f>(Demand_History!B2*1+Demand_History!B3*2+Demand_History!B4*3)/6</f>
        <v>1300.6666666666667</v>
      </c>
      <c r="F5" s="10">
        <f>C5-E5</f>
        <v>73.333333333333258</v>
      </c>
      <c r="G5" s="12">
        <f>IFERROR(ABS(F5)/C5,"")</f>
        <v>5.3372149442018381E-2</v>
      </c>
      <c r="I5" s="9" t="s">
        <v>31</v>
      </c>
      <c r="J5" s="11">
        <f>1-AVERAGEIFS($G$2:$G$121,$B$2:$B$121,I5)</f>
        <v>0.93802565928401571</v>
      </c>
    </row>
    <row r="6" spans="1:12" x14ac:dyDescent="0.2">
      <c r="A6" s="7">
        <v>45413</v>
      </c>
      <c r="B6" s="9" t="s">
        <v>28</v>
      </c>
      <c r="C6" s="10">
        <f>Demand_History!B6</f>
        <v>1362</v>
      </c>
      <c r="D6" s="10">
        <f>AVERAGE(Demand_History!B3:B5)</f>
        <v>1334.3333333333333</v>
      </c>
      <c r="E6" s="10">
        <f>(Demand_History!B3*1+Demand_History!B4*2+Demand_History!B5*3)/6</f>
        <v>1349.5</v>
      </c>
      <c r="F6" s="10">
        <f>C6-E6</f>
        <v>12.5</v>
      </c>
      <c r="G6" s="12">
        <f>IFERROR(ABS(F6)/C6,"")</f>
        <v>9.1776798825256977E-3</v>
      </c>
      <c r="I6" s="9" t="s">
        <v>32</v>
      </c>
      <c r="J6" s="11">
        <f>1-AVERAGEIFS($G$2:$G$121,$B$2:$B$121,I6)</f>
        <v>0.92611545541432971</v>
      </c>
    </row>
    <row r="7" spans="1:12" x14ac:dyDescent="0.2">
      <c r="A7" s="7">
        <v>45444</v>
      </c>
      <c r="B7" s="9" t="s">
        <v>28</v>
      </c>
      <c r="C7" s="10">
        <f>Demand_History!B7</f>
        <v>1315</v>
      </c>
      <c r="D7" s="10">
        <f>AVERAGE(Demand_History!B4:B6)</f>
        <v>1360.6666666666667</v>
      </c>
      <c r="E7" s="10">
        <f>(Demand_History!B4*1+Demand_History!B5*2+Demand_History!B6*3)/6</f>
        <v>1363.3333333333333</v>
      </c>
      <c r="F7" s="10">
        <f>C7-E7</f>
        <v>-48.333333333333258</v>
      </c>
      <c r="G7" s="12">
        <f>IFERROR(ABS(F7)/C7,"")</f>
        <v>3.6755386565272441E-2</v>
      </c>
    </row>
    <row r="8" spans="1:12" x14ac:dyDescent="0.2">
      <c r="A8" s="7">
        <v>45474</v>
      </c>
      <c r="B8" s="9" t="s">
        <v>28</v>
      </c>
      <c r="C8" s="10">
        <f>Demand_History!B8</f>
        <v>1248</v>
      </c>
      <c r="D8" s="10">
        <f>AVERAGE(Demand_History!B5:B7)</f>
        <v>1350.3333333333333</v>
      </c>
      <c r="E8" s="10">
        <f>(Demand_History!B5*1+Demand_History!B6*2+Demand_History!B7*3)/6</f>
        <v>1340.5</v>
      </c>
      <c r="F8" s="10">
        <f>C8-E8</f>
        <v>-92.5</v>
      </c>
      <c r="G8" s="12">
        <f>IFERROR(ABS(F8)/C8,"")</f>
        <v>7.4118589743589744E-2</v>
      </c>
    </row>
    <row r="9" spans="1:12" x14ac:dyDescent="0.2">
      <c r="A9" s="7">
        <v>45505</v>
      </c>
      <c r="B9" s="9" t="s">
        <v>28</v>
      </c>
      <c r="C9" s="10">
        <f>Demand_History!B9</f>
        <v>1181</v>
      </c>
      <c r="D9" s="10">
        <f>AVERAGE(Demand_History!B6:B8)</f>
        <v>1308.3333333333333</v>
      </c>
      <c r="E9" s="10">
        <f>(Demand_History!B6*1+Demand_History!B7*2+Demand_History!B8*3)/6</f>
        <v>1289.3333333333333</v>
      </c>
      <c r="F9" s="10">
        <f>C9-E9</f>
        <v>-108.33333333333326</v>
      </c>
      <c r="G9" s="12">
        <f>IFERROR(ABS(F9)/C9,"")</f>
        <v>9.1730172170476937E-2</v>
      </c>
    </row>
    <row r="10" spans="1:12" x14ac:dyDescent="0.2">
      <c r="A10" s="7">
        <v>45536</v>
      </c>
      <c r="B10" s="9" t="s">
        <v>28</v>
      </c>
      <c r="C10" s="10">
        <f>Demand_History!B10</f>
        <v>1134</v>
      </c>
      <c r="D10" s="10">
        <f>AVERAGE(Demand_History!B7:B9)</f>
        <v>1248</v>
      </c>
      <c r="E10" s="10">
        <f>(Demand_History!B7*1+Demand_History!B8*2+Demand_History!B9*3)/6</f>
        <v>1225.6666666666667</v>
      </c>
      <c r="F10" s="10">
        <f>C10-E10</f>
        <v>-91.666666666666742</v>
      </c>
      <c r="G10" s="12">
        <f>IFERROR(ABS(F10)/C10,"")</f>
        <v>8.083480305702534E-2</v>
      </c>
    </row>
    <row r="11" spans="1:12" x14ac:dyDescent="0.2">
      <c r="A11" s="7">
        <v>45566</v>
      </c>
      <c r="B11" s="9" t="s">
        <v>28</v>
      </c>
      <c r="C11" s="10">
        <f>Demand_History!B11</f>
        <v>1122</v>
      </c>
      <c r="D11" s="10">
        <f>AVERAGE(Demand_History!B8:B10)</f>
        <v>1187.6666666666667</v>
      </c>
      <c r="E11" s="10">
        <f>(Demand_History!B8*1+Demand_History!B9*2+Demand_History!B10*3)/6</f>
        <v>1168.6666666666667</v>
      </c>
      <c r="F11" s="10">
        <f>C11-E11</f>
        <v>-46.666666666666742</v>
      </c>
      <c r="G11" s="12">
        <f>IFERROR(ABS(F11)/C11,"")</f>
        <v>4.1592394533571074E-2</v>
      </c>
    </row>
    <row r="12" spans="1:12" x14ac:dyDescent="0.2">
      <c r="A12" s="7">
        <v>45597</v>
      </c>
      <c r="B12" s="9" t="s">
        <v>28</v>
      </c>
      <c r="C12" s="10">
        <f>Demand_History!B12</f>
        <v>1150</v>
      </c>
      <c r="D12" s="10">
        <f>AVERAGE(Demand_History!B9:B11)</f>
        <v>1145.6666666666667</v>
      </c>
      <c r="E12" s="10">
        <f>(Demand_History!B9*1+Demand_History!B10*2+Demand_History!B11*3)/6</f>
        <v>1135.8333333333333</v>
      </c>
      <c r="F12" s="10">
        <f>C12-E12</f>
        <v>14.166666666666742</v>
      </c>
      <c r="G12" s="12">
        <f>IFERROR(ABS(F12)/C12,"")</f>
        <v>1.2318840579710211E-2</v>
      </c>
    </row>
    <row r="13" spans="1:12" x14ac:dyDescent="0.2">
      <c r="A13" s="7">
        <v>45627</v>
      </c>
      <c r="B13" s="9" t="s">
        <v>28</v>
      </c>
      <c r="C13" s="10">
        <f>Demand_History!B13</f>
        <v>1213</v>
      </c>
      <c r="D13" s="10">
        <f>AVERAGE(Demand_History!B10:B12)</f>
        <v>1135.3333333333333</v>
      </c>
      <c r="E13" s="10">
        <f>(Demand_History!B10*1+Demand_History!B11*2+Demand_History!B12*3)/6</f>
        <v>1138</v>
      </c>
      <c r="F13" s="10">
        <f>C13-E13</f>
        <v>75</v>
      </c>
      <c r="G13" s="12">
        <f>IFERROR(ABS(F13)/C13,"")</f>
        <v>6.1830173124484751E-2</v>
      </c>
    </row>
    <row r="14" spans="1:12" x14ac:dyDescent="0.2">
      <c r="A14" s="7">
        <v>45658</v>
      </c>
      <c r="B14" s="9" t="s">
        <v>28</v>
      </c>
      <c r="C14" s="10">
        <f>Demand_History!B14</f>
        <v>1296</v>
      </c>
      <c r="D14" s="10">
        <f>AVERAGE(Demand_History!B11:B13)</f>
        <v>1161.6666666666667</v>
      </c>
      <c r="E14" s="10">
        <f>(Demand_History!B11*1+Demand_History!B12*2+Demand_History!B13*3)/6</f>
        <v>1176.8333333333333</v>
      </c>
      <c r="F14" s="10">
        <f>C14-E14</f>
        <v>119.16666666666674</v>
      </c>
      <c r="G14" s="12">
        <f>IFERROR(ABS(F14)/C14,"")</f>
        <v>9.1949588477366312E-2</v>
      </c>
    </row>
    <row r="15" spans="1:12" x14ac:dyDescent="0.2">
      <c r="A15" s="7">
        <v>45689</v>
      </c>
      <c r="B15" s="9" t="s">
        <v>28</v>
      </c>
      <c r="C15" s="10">
        <f>Demand_History!B15</f>
        <v>1379</v>
      </c>
      <c r="D15" s="10">
        <f>AVERAGE(Demand_History!B12:B14)</f>
        <v>1219.6666666666667</v>
      </c>
      <c r="E15" s="10">
        <f>(Demand_History!B12*1+Demand_History!B13*2+Demand_History!B14*3)/6</f>
        <v>1244</v>
      </c>
      <c r="F15" s="10">
        <f>C15-E15</f>
        <v>135</v>
      </c>
      <c r="G15" s="12">
        <f>IFERROR(ABS(F15)/C15,"")</f>
        <v>9.7897026831036987E-2</v>
      </c>
    </row>
    <row r="16" spans="1:12" x14ac:dyDescent="0.2">
      <c r="A16" s="7">
        <v>45717</v>
      </c>
      <c r="B16" s="9" t="s">
        <v>28</v>
      </c>
      <c r="C16" s="10">
        <f>Demand_History!B16</f>
        <v>1442</v>
      </c>
      <c r="D16" s="10">
        <f>AVERAGE(Demand_History!B13:B15)</f>
        <v>1296</v>
      </c>
      <c r="E16" s="10">
        <f>(Demand_History!B13*1+Demand_History!B14*2+Demand_History!B15*3)/6</f>
        <v>1323.6666666666667</v>
      </c>
      <c r="F16" s="10">
        <f>C16-E16</f>
        <v>118.33333333333326</v>
      </c>
      <c r="G16" s="12">
        <f>IFERROR(ABS(F16)/C16,"")</f>
        <v>8.2061950993989774E-2</v>
      </c>
    </row>
    <row r="17" spans="1:7" x14ac:dyDescent="0.2">
      <c r="A17" s="7">
        <v>45748</v>
      </c>
      <c r="B17" s="9" t="s">
        <v>28</v>
      </c>
      <c r="C17" s="10">
        <f>Demand_History!B17</f>
        <v>1470</v>
      </c>
      <c r="D17" s="10">
        <f>AVERAGE(Demand_History!B14:B16)</f>
        <v>1372.3333333333333</v>
      </c>
      <c r="E17" s="10">
        <f>(Demand_History!B14*1+Demand_History!B15*2+Demand_History!B16*3)/6</f>
        <v>1396.6666666666667</v>
      </c>
      <c r="F17" s="10">
        <f>C17-E17</f>
        <v>73.333333333333258</v>
      </c>
      <c r="G17" s="12">
        <f>IFERROR(ABS(F17)/C17,"")</f>
        <v>4.988662131519269E-2</v>
      </c>
    </row>
    <row r="18" spans="1:7" x14ac:dyDescent="0.2">
      <c r="A18" s="7">
        <v>45778</v>
      </c>
      <c r="B18" s="9" t="s">
        <v>28</v>
      </c>
      <c r="C18" s="10">
        <f>Demand_History!B18</f>
        <v>1458</v>
      </c>
      <c r="D18" s="10">
        <f>AVERAGE(Demand_History!B15:B17)</f>
        <v>1430.3333333333333</v>
      </c>
      <c r="E18" s="10">
        <f>(Demand_History!B15*1+Demand_History!B16*2+Demand_History!B17*3)/6</f>
        <v>1445.5</v>
      </c>
      <c r="F18" s="10">
        <f>C18-E18</f>
        <v>12.5</v>
      </c>
      <c r="G18" s="12">
        <f>IFERROR(ABS(F18)/C18,"")</f>
        <v>8.5733882030178329E-3</v>
      </c>
    </row>
    <row r="19" spans="1:7" x14ac:dyDescent="0.2">
      <c r="A19" s="7">
        <v>45809</v>
      </c>
      <c r="B19" s="9" t="s">
        <v>28</v>
      </c>
      <c r="C19" s="10">
        <f>Demand_History!B19</f>
        <v>1411</v>
      </c>
      <c r="D19" s="10">
        <f>AVERAGE(Demand_History!B16:B18)</f>
        <v>1456.6666666666667</v>
      </c>
      <c r="E19" s="10">
        <f>(Demand_History!B16*1+Demand_History!B17*2+Demand_History!B18*3)/6</f>
        <v>1459.3333333333333</v>
      </c>
      <c r="F19" s="10">
        <f>C19-E19</f>
        <v>-48.333333333333258</v>
      </c>
      <c r="G19" s="12">
        <f>IFERROR(ABS(F19)/C19,"")</f>
        <v>3.425466572171032E-2</v>
      </c>
    </row>
    <row r="20" spans="1:7" x14ac:dyDescent="0.2">
      <c r="A20" s="7">
        <v>45839</v>
      </c>
      <c r="B20" s="9" t="s">
        <v>28</v>
      </c>
      <c r="C20" s="10">
        <f>Demand_History!B20</f>
        <v>1344</v>
      </c>
      <c r="D20" s="10">
        <f>AVERAGE(Demand_History!B17:B19)</f>
        <v>1446.3333333333333</v>
      </c>
      <c r="E20" s="10">
        <f>(Demand_History!B17*1+Demand_History!B18*2+Demand_History!B19*3)/6</f>
        <v>1436.5</v>
      </c>
      <c r="F20" s="10">
        <f>C20-E20</f>
        <v>-92.5</v>
      </c>
      <c r="G20" s="12">
        <f>IFERROR(ABS(F20)/C20,"")</f>
        <v>6.8824404761904767E-2</v>
      </c>
    </row>
    <row r="21" spans="1:7" x14ac:dyDescent="0.2">
      <c r="A21" s="7">
        <v>45870</v>
      </c>
      <c r="B21" s="9" t="s">
        <v>28</v>
      </c>
      <c r="C21" s="10">
        <f>Demand_History!B21</f>
        <v>1277</v>
      </c>
      <c r="D21" s="10">
        <f>AVERAGE(Demand_History!B18:B20)</f>
        <v>1404.3333333333333</v>
      </c>
      <c r="E21" s="10">
        <f>(Demand_History!B18*1+Demand_History!B19*2+Demand_History!B20*3)/6</f>
        <v>1385.3333333333333</v>
      </c>
      <c r="F21" s="10">
        <f>C21-E21</f>
        <v>-108.33333333333326</v>
      </c>
      <c r="G21" s="12">
        <f>IFERROR(ABS(F21)/C21,"")</f>
        <v>8.4834246932915622E-2</v>
      </c>
    </row>
    <row r="22" spans="1:7" x14ac:dyDescent="0.2">
      <c r="A22" s="7">
        <v>45901</v>
      </c>
      <c r="B22" s="9" t="s">
        <v>28</v>
      </c>
      <c r="C22" s="10">
        <f>Demand_History!B22</f>
        <v>1230</v>
      </c>
      <c r="D22" s="10">
        <f>AVERAGE(Demand_History!B19:B21)</f>
        <v>1344</v>
      </c>
      <c r="E22" s="10">
        <f>(Demand_History!B19*1+Demand_History!B20*2+Demand_History!B21*3)/6</f>
        <v>1321.6666666666667</v>
      </c>
      <c r="F22" s="10">
        <f>C22-E22</f>
        <v>-91.666666666666742</v>
      </c>
      <c r="G22" s="12">
        <f>IFERROR(ABS(F22)/C22,"")</f>
        <v>7.4525745257452633E-2</v>
      </c>
    </row>
    <row r="23" spans="1:7" x14ac:dyDescent="0.2">
      <c r="A23" s="7">
        <v>45931</v>
      </c>
      <c r="B23" s="9" t="s">
        <v>28</v>
      </c>
      <c r="C23" s="10">
        <f>Demand_History!B23</f>
        <v>1218</v>
      </c>
      <c r="D23" s="10">
        <f>AVERAGE(Demand_History!B20:B22)</f>
        <v>1283.6666666666667</v>
      </c>
      <c r="E23" s="10">
        <f>(Demand_History!B20*1+Demand_History!B21*2+Demand_History!B22*3)/6</f>
        <v>1264.6666666666667</v>
      </c>
      <c r="F23" s="10">
        <f>C23-E23</f>
        <v>-46.666666666666742</v>
      </c>
      <c r="G23" s="12">
        <f>IFERROR(ABS(F23)/C23,"")</f>
        <v>3.8314176245210788E-2</v>
      </c>
    </row>
    <row r="24" spans="1:7" x14ac:dyDescent="0.2">
      <c r="A24" s="7">
        <v>45962</v>
      </c>
      <c r="B24" s="9" t="s">
        <v>28</v>
      </c>
      <c r="C24" s="10">
        <f>Demand_History!B24</f>
        <v>1246</v>
      </c>
      <c r="D24" s="10">
        <f>AVERAGE(Demand_History!B21:B23)</f>
        <v>1241.6666666666667</v>
      </c>
      <c r="E24" s="10">
        <f>(Demand_History!B21*1+Demand_History!B22*2+Demand_History!B23*3)/6</f>
        <v>1231.8333333333333</v>
      </c>
      <c r="F24" s="10">
        <f>C24-E24</f>
        <v>14.166666666666742</v>
      </c>
      <c r="G24" s="12">
        <f>IFERROR(ABS(F24)/C24,"")</f>
        <v>1.1369716425896261E-2</v>
      </c>
    </row>
    <row r="25" spans="1:7" x14ac:dyDescent="0.2">
      <c r="A25" s="7">
        <v>45992</v>
      </c>
      <c r="B25" s="9" t="s">
        <v>28</v>
      </c>
      <c r="C25" s="10">
        <f>Demand_History!B25</f>
        <v>1309</v>
      </c>
      <c r="D25" s="10">
        <f>AVERAGE(Demand_History!B22:B24)</f>
        <v>1231.3333333333333</v>
      </c>
      <c r="E25" s="10">
        <f>(Demand_History!B22*1+Demand_History!B23*2+Demand_History!B24*3)/6</f>
        <v>1234</v>
      </c>
      <c r="F25" s="10">
        <f>C25-E25</f>
        <v>75</v>
      </c>
      <c r="G25" s="12">
        <f>IFERROR(ABS(F25)/C25,"")</f>
        <v>5.7295645530939646E-2</v>
      </c>
    </row>
    <row r="26" spans="1:7" x14ac:dyDescent="0.2">
      <c r="A26" s="7">
        <v>45292</v>
      </c>
      <c r="B26" s="9" t="s">
        <v>29</v>
      </c>
      <c r="C26" s="10">
        <f>Demand_History!C2</f>
        <v>884</v>
      </c>
      <c r="D26" s="9" t="s">
        <v>42</v>
      </c>
      <c r="E26" s="9" t="s">
        <v>42</v>
      </c>
      <c r="F26" s="9" t="s">
        <v>42</v>
      </c>
      <c r="G26" s="9" t="s">
        <v>42</v>
      </c>
    </row>
    <row r="27" spans="1:7" x14ac:dyDescent="0.2">
      <c r="A27" s="7">
        <v>45323</v>
      </c>
      <c r="B27" s="9" t="s">
        <v>29</v>
      </c>
      <c r="C27" s="10">
        <f>Demand_History!C3</f>
        <v>905</v>
      </c>
      <c r="D27" s="9" t="s">
        <v>42</v>
      </c>
      <c r="E27" s="9" t="s">
        <v>42</v>
      </c>
      <c r="F27" s="9" t="s">
        <v>42</v>
      </c>
      <c r="G27" s="9" t="s">
        <v>42</v>
      </c>
    </row>
    <row r="28" spans="1:7" x14ac:dyDescent="0.2">
      <c r="A28" s="7">
        <v>45352</v>
      </c>
      <c r="B28" s="9" t="s">
        <v>29</v>
      </c>
      <c r="C28" s="10">
        <f>Demand_History!C4</f>
        <v>899</v>
      </c>
      <c r="D28" s="9" t="s">
        <v>42</v>
      </c>
      <c r="E28" s="9" t="s">
        <v>42</v>
      </c>
      <c r="F28" s="9" t="s">
        <v>42</v>
      </c>
      <c r="G28" s="9" t="s">
        <v>42</v>
      </c>
    </row>
    <row r="29" spans="1:7" x14ac:dyDescent="0.2">
      <c r="A29" s="7">
        <v>45383</v>
      </c>
      <c r="B29" s="9" t="s">
        <v>29</v>
      </c>
      <c r="C29" s="10">
        <f>Demand_History!C5</f>
        <v>869</v>
      </c>
      <c r="D29" s="10">
        <f>AVERAGE(Demand_History!C2:C4)</f>
        <v>896</v>
      </c>
      <c r="E29" s="10">
        <f>(Demand_History!C2*1+Demand_History!C3*2+Demand_History!C4*3)/6</f>
        <v>898.5</v>
      </c>
      <c r="F29" s="10">
        <f>C29-E29</f>
        <v>-29.5</v>
      </c>
      <c r="G29" s="12">
        <f>IFERROR(ABS(F29)/C29,"")</f>
        <v>3.394706559263521E-2</v>
      </c>
    </row>
    <row r="30" spans="1:7" x14ac:dyDescent="0.2">
      <c r="A30" s="7">
        <v>45413</v>
      </c>
      <c r="B30" s="9" t="s">
        <v>29</v>
      </c>
      <c r="C30" s="10">
        <f>Demand_History!C6</f>
        <v>825</v>
      </c>
      <c r="D30" s="10">
        <f>AVERAGE(Demand_History!C3:C5)</f>
        <v>891</v>
      </c>
      <c r="E30" s="10">
        <f>(Demand_History!C3*1+Demand_History!C4*2+Demand_History!C5*3)/6</f>
        <v>885</v>
      </c>
      <c r="F30" s="10">
        <f>C30-E30</f>
        <v>-60</v>
      </c>
      <c r="G30" s="12">
        <f>IFERROR(ABS(F30)/C30,"")</f>
        <v>7.2727272727272724E-2</v>
      </c>
    </row>
    <row r="31" spans="1:7" x14ac:dyDescent="0.2">
      <c r="A31" s="7">
        <v>45444</v>
      </c>
      <c r="B31" s="9" t="s">
        <v>29</v>
      </c>
      <c r="C31" s="10">
        <f>Demand_History!C7</f>
        <v>779</v>
      </c>
      <c r="D31" s="10">
        <f>AVERAGE(Demand_History!C4:C6)</f>
        <v>864.33333333333337</v>
      </c>
      <c r="E31" s="10">
        <f>(Demand_History!C4*1+Demand_History!C5*2+Demand_History!C6*3)/6</f>
        <v>852</v>
      </c>
      <c r="F31" s="10">
        <f>C31-E31</f>
        <v>-73</v>
      </c>
      <c r="G31" s="12">
        <f>IFERROR(ABS(F31)/C31,"")</f>
        <v>9.3709884467265719E-2</v>
      </c>
    </row>
    <row r="32" spans="1:7" x14ac:dyDescent="0.2">
      <c r="A32" s="7">
        <v>45474</v>
      </c>
      <c r="B32" s="9" t="s">
        <v>29</v>
      </c>
      <c r="C32" s="10">
        <f>Demand_History!C8</f>
        <v>746</v>
      </c>
      <c r="D32" s="10">
        <f>AVERAGE(Demand_History!C5:C7)</f>
        <v>824.33333333333337</v>
      </c>
      <c r="E32" s="10">
        <f>(Demand_History!C5*1+Demand_History!C6*2+Demand_History!C7*3)/6</f>
        <v>809.33333333333337</v>
      </c>
      <c r="F32" s="10">
        <f>C32-E32</f>
        <v>-63.333333333333371</v>
      </c>
      <c r="G32" s="12">
        <f>IFERROR(ABS(F32)/C32,"")</f>
        <v>8.4897229669347679E-2</v>
      </c>
    </row>
    <row r="33" spans="1:7" x14ac:dyDescent="0.2">
      <c r="A33" s="7">
        <v>45505</v>
      </c>
      <c r="B33" s="9" t="s">
        <v>29</v>
      </c>
      <c r="C33" s="10">
        <f>Demand_History!C9</f>
        <v>735</v>
      </c>
      <c r="D33" s="10">
        <f>AVERAGE(Demand_History!C6:C8)</f>
        <v>783.33333333333337</v>
      </c>
      <c r="E33" s="10">
        <f>(Demand_History!C6*1+Demand_History!C7*2+Demand_History!C8*3)/6</f>
        <v>770.16666666666663</v>
      </c>
      <c r="F33" s="10">
        <f>C33-E33</f>
        <v>-35.166666666666629</v>
      </c>
      <c r="G33" s="12">
        <f>IFERROR(ABS(F33)/C33,"")</f>
        <v>4.7845804988662081E-2</v>
      </c>
    </row>
    <row r="34" spans="1:7" x14ac:dyDescent="0.2">
      <c r="A34" s="7">
        <v>45536</v>
      </c>
      <c r="B34" s="9" t="s">
        <v>29</v>
      </c>
      <c r="C34" s="10">
        <f>Demand_History!C10</f>
        <v>751</v>
      </c>
      <c r="D34" s="10">
        <f>AVERAGE(Demand_History!C7:C9)</f>
        <v>753.33333333333337</v>
      </c>
      <c r="E34" s="10">
        <f>(Demand_History!C7*1+Demand_History!C8*2+Demand_History!C9*3)/6</f>
        <v>746</v>
      </c>
      <c r="F34" s="10">
        <f>C34-E34</f>
        <v>5</v>
      </c>
      <c r="G34" s="12">
        <f>IFERROR(ABS(F34)/C34,"")</f>
        <v>6.6577896138482022E-3</v>
      </c>
    </row>
    <row r="35" spans="1:7" x14ac:dyDescent="0.2">
      <c r="A35" s="7">
        <v>45566</v>
      </c>
      <c r="B35" s="9" t="s">
        <v>29</v>
      </c>
      <c r="C35" s="10">
        <f>Demand_History!C11</f>
        <v>791</v>
      </c>
      <c r="D35" s="10">
        <f>AVERAGE(Demand_History!C8:C10)</f>
        <v>744</v>
      </c>
      <c r="E35" s="10">
        <f>(Demand_History!C8*1+Demand_History!C9*2+Demand_History!C10*3)/6</f>
        <v>744.83333333333337</v>
      </c>
      <c r="F35" s="10">
        <f>C35-E35</f>
        <v>46.166666666666629</v>
      </c>
      <c r="G35" s="12">
        <f>IFERROR(ABS(F35)/C35,"")</f>
        <v>5.8364938895912301E-2</v>
      </c>
    </row>
    <row r="36" spans="1:7" x14ac:dyDescent="0.2">
      <c r="A36" s="7">
        <v>45597</v>
      </c>
      <c r="B36" s="9" t="s">
        <v>29</v>
      </c>
      <c r="C36" s="10">
        <f>Demand_History!C12</f>
        <v>845</v>
      </c>
      <c r="D36" s="10">
        <f>AVERAGE(Demand_History!C9:C11)</f>
        <v>759</v>
      </c>
      <c r="E36" s="10">
        <f>(Demand_History!C9*1+Demand_History!C10*2+Demand_History!C11*3)/6</f>
        <v>768.33333333333337</v>
      </c>
      <c r="F36" s="10">
        <f>C36-E36</f>
        <v>76.666666666666629</v>
      </c>
      <c r="G36" s="12">
        <f>IFERROR(ABS(F36)/C36,"")</f>
        <v>9.0729783037475295E-2</v>
      </c>
    </row>
    <row r="37" spans="1:7" x14ac:dyDescent="0.2">
      <c r="A37" s="7">
        <v>45627</v>
      </c>
      <c r="B37" s="9" t="s">
        <v>29</v>
      </c>
      <c r="C37" s="10">
        <f>Demand_History!C13</f>
        <v>901</v>
      </c>
      <c r="D37" s="10">
        <f>AVERAGE(Demand_History!C10:C12)</f>
        <v>795.66666666666663</v>
      </c>
      <c r="E37" s="10">
        <f>(Demand_History!C10*1+Demand_History!C11*2+Demand_History!C12*3)/6</f>
        <v>811.33333333333337</v>
      </c>
      <c r="F37" s="10">
        <f>C37-E37</f>
        <v>89.666666666666629</v>
      </c>
      <c r="G37" s="12">
        <f>IFERROR(ABS(F37)/C37,"")</f>
        <v>9.9519052904180505E-2</v>
      </c>
    </row>
    <row r="38" spans="1:7" x14ac:dyDescent="0.2">
      <c r="A38" s="7">
        <v>45658</v>
      </c>
      <c r="B38" s="9" t="s">
        <v>29</v>
      </c>
      <c r="C38" s="10">
        <f>Demand_History!C14</f>
        <v>944</v>
      </c>
      <c r="D38" s="10">
        <f>AVERAGE(Demand_History!C11:C13)</f>
        <v>845.66666666666663</v>
      </c>
      <c r="E38" s="10">
        <f>(Demand_History!C11*1+Demand_History!C12*2+Demand_History!C13*3)/6</f>
        <v>864</v>
      </c>
      <c r="F38" s="10">
        <f>C38-E38</f>
        <v>80</v>
      </c>
      <c r="G38" s="12">
        <f>IFERROR(ABS(F38)/C38,"")</f>
        <v>8.4745762711864403E-2</v>
      </c>
    </row>
    <row r="39" spans="1:7" x14ac:dyDescent="0.2">
      <c r="A39" s="7">
        <v>45689</v>
      </c>
      <c r="B39" s="9" t="s">
        <v>29</v>
      </c>
      <c r="C39" s="10">
        <f>Demand_History!C15</f>
        <v>965</v>
      </c>
      <c r="D39" s="10">
        <f>AVERAGE(Demand_History!C12:C14)</f>
        <v>896.66666666666663</v>
      </c>
      <c r="E39" s="10">
        <f>(Demand_History!C12*1+Demand_History!C13*2+Demand_History!C14*3)/6</f>
        <v>913.16666666666663</v>
      </c>
      <c r="F39" s="10">
        <f>C39-E39</f>
        <v>51.833333333333371</v>
      </c>
      <c r="G39" s="12">
        <f>IFERROR(ABS(F39)/C39,"")</f>
        <v>5.3713298791019035E-2</v>
      </c>
    </row>
    <row r="40" spans="1:7" x14ac:dyDescent="0.2">
      <c r="A40" s="7">
        <v>45717</v>
      </c>
      <c r="B40" s="9" t="s">
        <v>29</v>
      </c>
      <c r="C40" s="10">
        <f>Demand_History!C16</f>
        <v>959</v>
      </c>
      <c r="D40" s="10">
        <f>AVERAGE(Demand_History!C13:C15)</f>
        <v>936.66666666666663</v>
      </c>
      <c r="E40" s="10">
        <f>(Demand_History!C13*1+Demand_History!C14*2+Demand_History!C15*3)/6</f>
        <v>947.33333333333337</v>
      </c>
      <c r="F40" s="10">
        <f>C40-E40</f>
        <v>11.666666666666629</v>
      </c>
      <c r="G40" s="12">
        <f>IFERROR(ABS(F40)/C40,"")</f>
        <v>1.2165450121654462E-2</v>
      </c>
    </row>
    <row r="41" spans="1:7" x14ac:dyDescent="0.2">
      <c r="A41" s="7">
        <v>45748</v>
      </c>
      <c r="B41" s="9" t="s">
        <v>29</v>
      </c>
      <c r="C41" s="10">
        <f>Demand_History!C17</f>
        <v>929</v>
      </c>
      <c r="D41" s="10">
        <f>AVERAGE(Demand_History!C14:C16)</f>
        <v>956</v>
      </c>
      <c r="E41" s="10">
        <f>(Demand_History!C14*1+Demand_History!C15*2+Demand_History!C16*3)/6</f>
        <v>958.5</v>
      </c>
      <c r="F41" s="10">
        <f>C41-E41</f>
        <v>-29.5</v>
      </c>
      <c r="G41" s="12">
        <f>IFERROR(ABS(F41)/C41,"")</f>
        <v>3.1754574811625406E-2</v>
      </c>
    </row>
    <row r="42" spans="1:7" x14ac:dyDescent="0.2">
      <c r="A42" s="7">
        <v>45778</v>
      </c>
      <c r="B42" s="9" t="s">
        <v>29</v>
      </c>
      <c r="C42" s="10">
        <f>Demand_History!C18</f>
        <v>885</v>
      </c>
      <c r="D42" s="10">
        <f>AVERAGE(Demand_History!C15:C17)</f>
        <v>951</v>
      </c>
      <c r="E42" s="10">
        <f>(Demand_History!C15*1+Demand_History!C16*2+Demand_History!C17*3)/6</f>
        <v>945</v>
      </c>
      <c r="F42" s="10">
        <f>C42-E42</f>
        <v>-60</v>
      </c>
      <c r="G42" s="12">
        <f>IFERROR(ABS(F42)/C42,"")</f>
        <v>6.7796610169491525E-2</v>
      </c>
    </row>
    <row r="43" spans="1:7" x14ac:dyDescent="0.2">
      <c r="A43" s="7">
        <v>45809</v>
      </c>
      <c r="B43" s="9" t="s">
        <v>29</v>
      </c>
      <c r="C43" s="10">
        <f>Demand_History!C19</f>
        <v>839</v>
      </c>
      <c r="D43" s="10">
        <f>AVERAGE(Demand_History!C16:C18)</f>
        <v>924.33333333333337</v>
      </c>
      <c r="E43" s="10">
        <f>(Demand_History!C16*1+Demand_History!C17*2+Demand_History!C18*3)/6</f>
        <v>912</v>
      </c>
      <c r="F43" s="10">
        <f>C43-E43</f>
        <v>-73</v>
      </c>
      <c r="G43" s="12">
        <f>IFERROR(ABS(F43)/C43,"")</f>
        <v>8.7008343265792612E-2</v>
      </c>
    </row>
    <row r="44" spans="1:7" x14ac:dyDescent="0.2">
      <c r="A44" s="7">
        <v>45839</v>
      </c>
      <c r="B44" s="9" t="s">
        <v>29</v>
      </c>
      <c r="C44" s="10">
        <f>Demand_History!C20</f>
        <v>806</v>
      </c>
      <c r="D44" s="10">
        <f>AVERAGE(Demand_History!C17:C19)</f>
        <v>884.33333333333337</v>
      </c>
      <c r="E44" s="10">
        <f>(Demand_History!C17*1+Demand_History!C18*2+Demand_History!C19*3)/6</f>
        <v>869.33333333333337</v>
      </c>
      <c r="F44" s="10">
        <f>C44-E44</f>
        <v>-63.333333333333371</v>
      </c>
      <c r="G44" s="12">
        <f>IFERROR(ABS(F44)/C44,"")</f>
        <v>7.8577336641852819E-2</v>
      </c>
    </row>
    <row r="45" spans="1:7" x14ac:dyDescent="0.2">
      <c r="A45" s="7">
        <v>45870</v>
      </c>
      <c r="B45" s="9" t="s">
        <v>29</v>
      </c>
      <c r="C45" s="10">
        <f>Demand_History!C21</f>
        <v>795</v>
      </c>
      <c r="D45" s="10">
        <f>AVERAGE(Demand_History!C18:C20)</f>
        <v>843.33333333333337</v>
      </c>
      <c r="E45" s="10">
        <f>(Demand_History!C18*1+Demand_History!C19*2+Demand_History!C20*3)/6</f>
        <v>830.16666666666663</v>
      </c>
      <c r="F45" s="10">
        <f>C45-E45</f>
        <v>-35.166666666666629</v>
      </c>
      <c r="G45" s="12">
        <f>IFERROR(ABS(F45)/C45,"")</f>
        <v>4.4234800838574374E-2</v>
      </c>
    </row>
    <row r="46" spans="1:7" x14ac:dyDescent="0.2">
      <c r="A46" s="7">
        <v>45901</v>
      </c>
      <c r="B46" s="9" t="s">
        <v>29</v>
      </c>
      <c r="C46" s="10">
        <f>Demand_History!C22</f>
        <v>811</v>
      </c>
      <c r="D46" s="10">
        <f>AVERAGE(Demand_History!C19:C21)</f>
        <v>813.33333333333337</v>
      </c>
      <c r="E46" s="10">
        <f>(Demand_History!C19*1+Demand_History!C20*2+Demand_History!C21*3)/6</f>
        <v>806</v>
      </c>
      <c r="F46" s="10">
        <f>C46-E46</f>
        <v>5</v>
      </c>
      <c r="G46" s="12">
        <f>IFERROR(ABS(F46)/C46,"")</f>
        <v>6.1652281134401974E-3</v>
      </c>
    </row>
    <row r="47" spans="1:7" x14ac:dyDescent="0.2">
      <c r="A47" s="7">
        <v>45931</v>
      </c>
      <c r="B47" s="9" t="s">
        <v>29</v>
      </c>
      <c r="C47" s="10">
        <f>Demand_History!C23</f>
        <v>851</v>
      </c>
      <c r="D47" s="10">
        <f>AVERAGE(Demand_History!C20:C22)</f>
        <v>804</v>
      </c>
      <c r="E47" s="10">
        <f>(Demand_History!C20*1+Demand_History!C21*2+Demand_History!C22*3)/6</f>
        <v>804.83333333333337</v>
      </c>
      <c r="F47" s="10">
        <f>C47-E47</f>
        <v>46.166666666666629</v>
      </c>
      <c r="G47" s="12">
        <f>IFERROR(ABS(F47)/C47,"")</f>
        <v>5.4249902075988989E-2</v>
      </c>
    </row>
    <row r="48" spans="1:7" x14ac:dyDescent="0.2">
      <c r="A48" s="7">
        <v>45962</v>
      </c>
      <c r="B48" s="9" t="s">
        <v>29</v>
      </c>
      <c r="C48" s="10">
        <f>Demand_History!C24</f>
        <v>905</v>
      </c>
      <c r="D48" s="10">
        <f>AVERAGE(Demand_History!C21:C23)</f>
        <v>819</v>
      </c>
      <c r="E48" s="10">
        <f>(Demand_History!C21*1+Demand_History!C22*2+Demand_History!C23*3)/6</f>
        <v>828.33333333333337</v>
      </c>
      <c r="F48" s="10">
        <f>C48-E48</f>
        <v>76.666666666666629</v>
      </c>
      <c r="G48" s="12">
        <f>IFERROR(ABS(F48)/C48,"")</f>
        <v>8.4714548802946557E-2</v>
      </c>
    </row>
    <row r="49" spans="1:7" x14ac:dyDescent="0.2">
      <c r="A49" s="7">
        <v>45992</v>
      </c>
      <c r="B49" s="9" t="s">
        <v>29</v>
      </c>
      <c r="C49" s="10">
        <f>Demand_History!C25</f>
        <v>961</v>
      </c>
      <c r="D49" s="10">
        <f>AVERAGE(Demand_History!C22:C24)</f>
        <v>855.66666666666663</v>
      </c>
      <c r="E49" s="10">
        <f>(Demand_History!C22*1+Demand_History!C23*2+Demand_History!C24*3)/6</f>
        <v>871.33333333333337</v>
      </c>
      <c r="F49" s="10">
        <f>C49-E49</f>
        <v>89.666666666666629</v>
      </c>
      <c r="G49" s="12">
        <f>IFERROR(ABS(F49)/C49,"")</f>
        <v>9.3305584460631252E-2</v>
      </c>
    </row>
    <row r="50" spans="1:7" x14ac:dyDescent="0.2">
      <c r="A50" s="7">
        <v>45292</v>
      </c>
      <c r="B50" s="9" t="s">
        <v>30</v>
      </c>
      <c r="C50" s="10">
        <f>Demand_History!D2</f>
        <v>1682</v>
      </c>
      <c r="D50" s="9" t="s">
        <v>42</v>
      </c>
      <c r="E50" s="9" t="s">
        <v>42</v>
      </c>
      <c r="F50" s="9" t="s">
        <v>42</v>
      </c>
      <c r="G50" s="9" t="s">
        <v>42</v>
      </c>
    </row>
    <row r="51" spans="1:7" x14ac:dyDescent="0.2">
      <c r="A51" s="7">
        <v>45323</v>
      </c>
      <c r="B51" s="9" t="s">
        <v>30</v>
      </c>
      <c r="C51" s="10">
        <f>Demand_History!D3</f>
        <v>1626</v>
      </c>
      <c r="D51" s="9" t="s">
        <v>42</v>
      </c>
      <c r="E51" s="9" t="s">
        <v>42</v>
      </c>
      <c r="F51" s="9" t="s">
        <v>42</v>
      </c>
      <c r="G51" s="9" t="s">
        <v>42</v>
      </c>
    </row>
    <row r="52" spans="1:7" x14ac:dyDescent="0.2">
      <c r="A52" s="7">
        <v>45352</v>
      </c>
      <c r="B52" s="9" t="s">
        <v>30</v>
      </c>
      <c r="C52" s="10">
        <f>Demand_History!D4</f>
        <v>1539</v>
      </c>
      <c r="D52" s="9" t="s">
        <v>42</v>
      </c>
      <c r="E52" s="9" t="s">
        <v>42</v>
      </c>
      <c r="F52" s="9" t="s">
        <v>42</v>
      </c>
      <c r="G52" s="9" t="s">
        <v>42</v>
      </c>
    </row>
    <row r="53" spans="1:7" x14ac:dyDescent="0.2">
      <c r="A53" s="7">
        <v>45383</v>
      </c>
      <c r="B53" s="9" t="s">
        <v>30</v>
      </c>
      <c r="C53" s="10">
        <f>Demand_History!D5</f>
        <v>1447</v>
      </c>
      <c r="D53" s="10">
        <f>AVERAGE(Demand_History!D2:D4)</f>
        <v>1615.6666666666667</v>
      </c>
      <c r="E53" s="10">
        <f>(Demand_History!D2*1+Demand_History!D3*2+Demand_History!D4*3)/6</f>
        <v>1591.8333333333333</v>
      </c>
      <c r="F53" s="10">
        <f>C53-E53</f>
        <v>-144.83333333333326</v>
      </c>
      <c r="G53" s="12">
        <f>IFERROR(ABS(F53)/C53,"")</f>
        <v>0.10009214466712733</v>
      </c>
    </row>
    <row r="54" spans="1:7" x14ac:dyDescent="0.2">
      <c r="A54" s="7">
        <v>45413</v>
      </c>
      <c r="B54" s="9" t="s">
        <v>30</v>
      </c>
      <c r="C54" s="10">
        <f>Demand_History!D6</f>
        <v>1377</v>
      </c>
      <c r="D54" s="10">
        <f>AVERAGE(Demand_History!D3:D5)</f>
        <v>1537.3333333333333</v>
      </c>
      <c r="E54" s="10">
        <f>(Demand_History!D3*1+Demand_History!D4*2+Demand_History!D5*3)/6</f>
        <v>1507.5</v>
      </c>
      <c r="F54" s="10">
        <f>C54-E54</f>
        <v>-130.5</v>
      </c>
      <c r="G54" s="12">
        <f>IFERROR(ABS(F54)/C54,"")</f>
        <v>9.4771241830065356E-2</v>
      </c>
    </row>
    <row r="55" spans="1:7" x14ac:dyDescent="0.2">
      <c r="A55" s="7">
        <v>45444</v>
      </c>
      <c r="B55" s="9" t="s">
        <v>30</v>
      </c>
      <c r="C55" s="10">
        <f>Demand_History!D7</f>
        <v>1351</v>
      </c>
      <c r="D55" s="10">
        <f>AVERAGE(Demand_History!D4:D6)</f>
        <v>1454.3333333333333</v>
      </c>
      <c r="E55" s="10">
        <f>(Demand_History!D4*1+Demand_History!D5*2+Demand_History!D6*3)/6</f>
        <v>1427.3333333333333</v>
      </c>
      <c r="F55" s="10">
        <f>C55-E55</f>
        <v>-76.333333333333258</v>
      </c>
      <c r="G55" s="12">
        <f>IFERROR(ABS(F55)/C55,"")</f>
        <v>5.6501357019491681E-2</v>
      </c>
    </row>
    <row r="56" spans="1:7" x14ac:dyDescent="0.2">
      <c r="A56" s="7">
        <v>45474</v>
      </c>
      <c r="B56" s="9" t="s">
        <v>30</v>
      </c>
      <c r="C56" s="10">
        <f>Demand_History!D8</f>
        <v>1378</v>
      </c>
      <c r="D56" s="10">
        <f>AVERAGE(Demand_History!D5:D7)</f>
        <v>1391.6666666666667</v>
      </c>
      <c r="E56" s="10">
        <f>(Demand_History!D5*1+Demand_History!D6*2+Demand_History!D7*3)/6</f>
        <v>1375.6666666666667</v>
      </c>
      <c r="F56" s="10">
        <f>C56-E56</f>
        <v>2.3333333333332575</v>
      </c>
      <c r="G56" s="12">
        <f>IFERROR(ABS(F56)/C56,"")</f>
        <v>1.6932752781808837E-3</v>
      </c>
    </row>
    <row r="57" spans="1:7" x14ac:dyDescent="0.2">
      <c r="A57" s="7">
        <v>45505</v>
      </c>
      <c r="B57" s="9" t="s">
        <v>30</v>
      </c>
      <c r="C57" s="10">
        <f>Demand_History!D9</f>
        <v>1454</v>
      </c>
      <c r="D57" s="10">
        <f>AVERAGE(Demand_History!D6:D8)</f>
        <v>1368.6666666666667</v>
      </c>
      <c r="E57" s="10">
        <f>(Demand_History!D6*1+Demand_History!D7*2+Demand_History!D8*3)/6</f>
        <v>1368.8333333333333</v>
      </c>
      <c r="F57" s="10">
        <f>C57-E57</f>
        <v>85.166666666666742</v>
      </c>
      <c r="G57" s="12">
        <f>IFERROR(ABS(F57)/C57,"")</f>
        <v>5.8574048601558973E-2</v>
      </c>
    </row>
    <row r="58" spans="1:7" x14ac:dyDescent="0.2">
      <c r="A58" s="7">
        <v>45536</v>
      </c>
      <c r="B58" s="9" t="s">
        <v>30</v>
      </c>
      <c r="C58" s="10">
        <f>Demand_History!D10</f>
        <v>1561</v>
      </c>
      <c r="D58" s="10">
        <f>AVERAGE(Demand_History!D7:D9)</f>
        <v>1394.3333333333333</v>
      </c>
      <c r="E58" s="10">
        <f>(Demand_History!D7*1+Demand_History!D8*2+Demand_History!D9*3)/6</f>
        <v>1411.5</v>
      </c>
      <c r="F58" s="10">
        <f>C58-E58</f>
        <v>149.5</v>
      </c>
      <c r="G58" s="12">
        <f>IFERROR(ABS(F58)/C58,"")</f>
        <v>9.5771941063420879E-2</v>
      </c>
    </row>
    <row r="59" spans="1:7" x14ac:dyDescent="0.2">
      <c r="A59" s="7">
        <v>45566</v>
      </c>
      <c r="B59" s="9" t="s">
        <v>30</v>
      </c>
      <c r="C59" s="10">
        <f>Demand_History!D11</f>
        <v>1673</v>
      </c>
      <c r="D59" s="10">
        <f>AVERAGE(Demand_History!D8:D10)</f>
        <v>1464.3333333333333</v>
      </c>
      <c r="E59" s="10">
        <f>(Demand_History!D8*1+Demand_History!D9*2+Demand_History!D10*3)/6</f>
        <v>1494.8333333333333</v>
      </c>
      <c r="F59" s="10">
        <f>C59-E59</f>
        <v>178.16666666666674</v>
      </c>
      <c r="G59" s="12">
        <f>IFERROR(ABS(F59)/C59,"")</f>
        <v>0.10649531779238897</v>
      </c>
    </row>
    <row r="60" spans="1:7" x14ac:dyDescent="0.2">
      <c r="A60" s="7">
        <v>45597</v>
      </c>
      <c r="B60" s="9" t="s">
        <v>30</v>
      </c>
      <c r="C60" s="10">
        <f>Demand_History!D12</f>
        <v>1763</v>
      </c>
      <c r="D60" s="10">
        <f>AVERAGE(Demand_History!D9:D11)</f>
        <v>1562.6666666666667</v>
      </c>
      <c r="E60" s="10">
        <f>(Demand_History!D9*1+Demand_History!D10*2+Demand_History!D11*3)/6</f>
        <v>1599.1666666666667</v>
      </c>
      <c r="F60" s="10">
        <f>C60-E60</f>
        <v>163.83333333333326</v>
      </c>
      <c r="G60" s="12">
        <f>IFERROR(ABS(F60)/C60,"")</f>
        <v>9.2928719984874231E-2</v>
      </c>
    </row>
    <row r="61" spans="1:7" x14ac:dyDescent="0.2">
      <c r="A61" s="7">
        <v>45627</v>
      </c>
      <c r="B61" s="9" t="s">
        <v>30</v>
      </c>
      <c r="C61" s="10">
        <f>Demand_History!D13</f>
        <v>1809</v>
      </c>
      <c r="D61" s="10">
        <f>AVERAGE(Demand_History!D10:D12)</f>
        <v>1665.6666666666667</v>
      </c>
      <c r="E61" s="10">
        <f>(Demand_History!D10*1+Demand_History!D11*2+Demand_History!D12*3)/6</f>
        <v>1699.3333333333333</v>
      </c>
      <c r="F61" s="10">
        <f>C61-E61</f>
        <v>109.66666666666674</v>
      </c>
      <c r="G61" s="12">
        <f>IFERROR(ABS(F61)/C61,"")</f>
        <v>6.0622811866593004E-2</v>
      </c>
    </row>
    <row r="62" spans="1:7" x14ac:dyDescent="0.2">
      <c r="A62" s="7">
        <v>45658</v>
      </c>
      <c r="B62" s="9" t="s">
        <v>30</v>
      </c>
      <c r="C62" s="10">
        <f>Demand_History!D14</f>
        <v>1802</v>
      </c>
      <c r="D62" s="10">
        <f>AVERAGE(Demand_History!D11:D13)</f>
        <v>1748.3333333333333</v>
      </c>
      <c r="E62" s="10">
        <f>(Demand_History!D11*1+Demand_History!D12*2+Demand_History!D13*3)/6</f>
        <v>1771</v>
      </c>
      <c r="F62" s="10">
        <f>C62-E62</f>
        <v>31</v>
      </c>
      <c r="G62" s="12">
        <f>IFERROR(ABS(F62)/C62,"")</f>
        <v>1.7203107658157604E-2</v>
      </c>
    </row>
    <row r="63" spans="1:7" x14ac:dyDescent="0.2">
      <c r="A63" s="7">
        <v>45689</v>
      </c>
      <c r="B63" s="9" t="s">
        <v>30</v>
      </c>
      <c r="C63" s="10">
        <f>Demand_History!D15</f>
        <v>1746</v>
      </c>
      <c r="D63" s="10">
        <f>AVERAGE(Demand_History!D12:D14)</f>
        <v>1791.3333333333333</v>
      </c>
      <c r="E63" s="10">
        <f>(Demand_History!D12*1+Demand_History!D13*2+Demand_History!D14*3)/6</f>
        <v>1797.8333333333333</v>
      </c>
      <c r="F63" s="10">
        <f>C63-E63</f>
        <v>-51.833333333333258</v>
      </c>
      <c r="G63" s="12">
        <f>IFERROR(ABS(F63)/C63,"")</f>
        <v>2.968690339824356E-2</v>
      </c>
    </row>
    <row r="64" spans="1:7" x14ac:dyDescent="0.2">
      <c r="A64" s="7">
        <v>45717</v>
      </c>
      <c r="B64" s="9" t="s">
        <v>30</v>
      </c>
      <c r="C64" s="10">
        <f>Demand_History!D16</f>
        <v>1659</v>
      </c>
      <c r="D64" s="10">
        <f>AVERAGE(Demand_History!D13:D15)</f>
        <v>1785.6666666666667</v>
      </c>
      <c r="E64" s="10">
        <f>(Demand_History!D13*1+Demand_History!D14*2+Demand_History!D15*3)/6</f>
        <v>1775.1666666666667</v>
      </c>
      <c r="F64" s="10">
        <f>C64-E64</f>
        <v>-116.16666666666674</v>
      </c>
      <c r="G64" s="12">
        <f>IFERROR(ABS(F64)/C64,"")</f>
        <v>7.0022101667671338E-2</v>
      </c>
    </row>
    <row r="65" spans="1:7" x14ac:dyDescent="0.2">
      <c r="A65" s="7">
        <v>45748</v>
      </c>
      <c r="B65" s="9" t="s">
        <v>30</v>
      </c>
      <c r="C65" s="10">
        <f>Demand_History!D17</f>
        <v>1567</v>
      </c>
      <c r="D65" s="10">
        <f>AVERAGE(Demand_History!D14:D16)</f>
        <v>1735.6666666666667</v>
      </c>
      <c r="E65" s="10">
        <f>(Demand_History!D14*1+Demand_History!D15*2+Demand_History!D16*3)/6</f>
        <v>1711.8333333333333</v>
      </c>
      <c r="F65" s="10">
        <f>C65-E65</f>
        <v>-144.83333333333326</v>
      </c>
      <c r="G65" s="12">
        <f>IFERROR(ABS(F65)/C65,"")</f>
        <v>9.2427143161029526E-2</v>
      </c>
    </row>
    <row r="66" spans="1:7" x14ac:dyDescent="0.2">
      <c r="A66" s="7">
        <v>45778</v>
      </c>
      <c r="B66" s="9" t="s">
        <v>30</v>
      </c>
      <c r="C66" s="10">
        <f>Demand_History!D18</f>
        <v>1497</v>
      </c>
      <c r="D66" s="10">
        <f>AVERAGE(Demand_History!D15:D17)</f>
        <v>1657.3333333333333</v>
      </c>
      <c r="E66" s="10">
        <f>(Demand_History!D15*1+Demand_History!D16*2+Demand_History!D17*3)/6</f>
        <v>1627.5</v>
      </c>
      <c r="F66" s="10">
        <f>C66-E66</f>
        <v>-130.5</v>
      </c>
      <c r="G66" s="12">
        <f>IFERROR(ABS(F66)/C66,"")</f>
        <v>8.7174348697394793E-2</v>
      </c>
    </row>
    <row r="67" spans="1:7" x14ac:dyDescent="0.2">
      <c r="A67" s="7">
        <v>45809</v>
      </c>
      <c r="B67" s="9" t="s">
        <v>30</v>
      </c>
      <c r="C67" s="10">
        <f>Demand_History!D19</f>
        <v>1471</v>
      </c>
      <c r="D67" s="10">
        <f>AVERAGE(Demand_History!D16:D18)</f>
        <v>1574.3333333333333</v>
      </c>
      <c r="E67" s="10">
        <f>(Demand_History!D16*1+Demand_History!D17*2+Demand_History!D18*3)/6</f>
        <v>1547.3333333333333</v>
      </c>
      <c r="F67" s="10">
        <f>C67-E67</f>
        <v>-76.333333333333258</v>
      </c>
      <c r="G67" s="12">
        <f>IFERROR(ABS(F67)/C67,"")</f>
        <v>5.1892136868343479E-2</v>
      </c>
    </row>
    <row r="68" spans="1:7" x14ac:dyDescent="0.2">
      <c r="A68" s="7">
        <v>45839</v>
      </c>
      <c r="B68" s="9" t="s">
        <v>30</v>
      </c>
      <c r="C68" s="10">
        <f>Demand_History!D20</f>
        <v>1498</v>
      </c>
      <c r="D68" s="10">
        <f>AVERAGE(Demand_History!D17:D19)</f>
        <v>1511.6666666666667</v>
      </c>
      <c r="E68" s="10">
        <f>(Demand_History!D17*1+Demand_History!D18*2+Demand_History!D19*3)/6</f>
        <v>1495.6666666666667</v>
      </c>
      <c r="F68" s="10">
        <f>C68-E68</f>
        <v>2.3333333333332575</v>
      </c>
      <c r="G68" s="12">
        <f>IFERROR(ABS(F68)/C68,"")</f>
        <v>1.5576323987538435E-3</v>
      </c>
    </row>
    <row r="69" spans="1:7" x14ac:dyDescent="0.2">
      <c r="A69" s="7">
        <v>45870</v>
      </c>
      <c r="B69" s="9" t="s">
        <v>30</v>
      </c>
      <c r="C69" s="10">
        <f>Demand_History!D21</f>
        <v>1574</v>
      </c>
      <c r="D69" s="10">
        <f>AVERAGE(Demand_History!D18:D20)</f>
        <v>1488.6666666666667</v>
      </c>
      <c r="E69" s="10">
        <f>(Demand_History!D18*1+Demand_History!D19*2+Demand_History!D20*3)/6</f>
        <v>1488.8333333333333</v>
      </c>
      <c r="F69" s="10">
        <f>C69-E69</f>
        <v>85.166666666666742</v>
      </c>
      <c r="G69" s="12">
        <f>IFERROR(ABS(F69)/C69,"")</f>
        <v>5.4108428631935671E-2</v>
      </c>
    </row>
    <row r="70" spans="1:7" x14ac:dyDescent="0.2">
      <c r="A70" s="7">
        <v>45901</v>
      </c>
      <c r="B70" s="9" t="s">
        <v>30</v>
      </c>
      <c r="C70" s="10">
        <f>Demand_History!D22</f>
        <v>1681</v>
      </c>
      <c r="D70" s="10">
        <f>AVERAGE(Demand_History!D19:D21)</f>
        <v>1514.3333333333333</v>
      </c>
      <c r="E70" s="10">
        <f>(Demand_History!D19*1+Demand_History!D20*2+Demand_History!D21*3)/6</f>
        <v>1531.5</v>
      </c>
      <c r="F70" s="10">
        <f>C70-E70</f>
        <v>149.5</v>
      </c>
      <c r="G70" s="12">
        <f>IFERROR(ABS(F70)/C70,"")</f>
        <v>8.8935157644259369E-2</v>
      </c>
    </row>
    <row r="71" spans="1:7" x14ac:dyDescent="0.2">
      <c r="A71" s="7">
        <v>45931</v>
      </c>
      <c r="B71" s="9" t="s">
        <v>30</v>
      </c>
      <c r="C71" s="10">
        <f>Demand_History!D23</f>
        <v>1793</v>
      </c>
      <c r="D71" s="10">
        <f>AVERAGE(Demand_History!D20:D22)</f>
        <v>1584.3333333333333</v>
      </c>
      <c r="E71" s="10">
        <f>(Demand_History!D20*1+Demand_History!D21*2+Demand_History!D22*3)/6</f>
        <v>1614.8333333333333</v>
      </c>
      <c r="F71" s="10">
        <f>C71-E71</f>
        <v>178.16666666666674</v>
      </c>
      <c r="G71" s="12">
        <f>IFERROR(ABS(F71)/C71,"")</f>
        <v>9.9367912251347876E-2</v>
      </c>
    </row>
    <row r="72" spans="1:7" x14ac:dyDescent="0.2">
      <c r="A72" s="7">
        <v>45962</v>
      </c>
      <c r="B72" s="9" t="s">
        <v>30</v>
      </c>
      <c r="C72" s="10">
        <f>Demand_History!D24</f>
        <v>1883</v>
      </c>
      <c r="D72" s="10">
        <f>AVERAGE(Demand_History!D21:D23)</f>
        <v>1682.6666666666667</v>
      </c>
      <c r="E72" s="10">
        <f>(Demand_History!D21*1+Demand_History!D22*2+Demand_History!D23*3)/6</f>
        <v>1719.1666666666667</v>
      </c>
      <c r="F72" s="10">
        <f>C72-E72</f>
        <v>163.83333333333326</v>
      </c>
      <c r="G72" s="12">
        <f>IFERROR(ABS(F72)/C72,"")</f>
        <v>8.7006549831828608E-2</v>
      </c>
    </row>
    <row r="73" spans="1:7" x14ac:dyDescent="0.2">
      <c r="A73" s="7">
        <v>45992</v>
      </c>
      <c r="B73" s="9" t="s">
        <v>30</v>
      </c>
      <c r="C73" s="10">
        <f>Demand_History!D25</f>
        <v>1929</v>
      </c>
      <c r="D73" s="10">
        <f>AVERAGE(Demand_History!D22:D24)</f>
        <v>1785.6666666666667</v>
      </c>
      <c r="E73" s="10">
        <f>(Demand_History!D22*1+Demand_History!D23*2+Demand_History!D24*3)/6</f>
        <v>1819.3333333333333</v>
      </c>
      <c r="F73" s="10">
        <f>C73-E73</f>
        <v>109.66666666666674</v>
      </c>
      <c r="G73" s="12">
        <f>IFERROR(ABS(F73)/C73,"")</f>
        <v>5.6851563850008682E-2</v>
      </c>
    </row>
    <row r="74" spans="1:7" x14ac:dyDescent="0.2">
      <c r="A74" s="7">
        <v>45292</v>
      </c>
      <c r="B74" s="9" t="s">
        <v>31</v>
      </c>
      <c r="C74" s="10">
        <f>Demand_History!E2</f>
        <v>638</v>
      </c>
      <c r="D74" s="9" t="s">
        <v>42</v>
      </c>
      <c r="E74" s="9" t="s">
        <v>42</v>
      </c>
      <c r="F74" s="9" t="s">
        <v>42</v>
      </c>
      <c r="G74" s="9" t="s">
        <v>42</v>
      </c>
    </row>
    <row r="75" spans="1:7" x14ac:dyDescent="0.2">
      <c r="A75" s="7">
        <v>45323</v>
      </c>
      <c r="B75" s="9" t="s">
        <v>31</v>
      </c>
      <c r="C75" s="10">
        <f>Demand_History!E3</f>
        <v>671</v>
      </c>
      <c r="D75" s="9" t="s">
        <v>42</v>
      </c>
      <c r="E75" s="9" t="s">
        <v>42</v>
      </c>
      <c r="F75" s="9" t="s">
        <v>42</v>
      </c>
      <c r="G75" s="9" t="s">
        <v>42</v>
      </c>
    </row>
    <row r="76" spans="1:7" x14ac:dyDescent="0.2">
      <c r="A76" s="7">
        <v>45352</v>
      </c>
      <c r="B76" s="9" t="s">
        <v>31</v>
      </c>
      <c r="C76" s="10">
        <f>Demand_History!E4</f>
        <v>686</v>
      </c>
      <c r="D76" s="9" t="s">
        <v>42</v>
      </c>
      <c r="E76" s="9" t="s">
        <v>42</v>
      </c>
      <c r="F76" s="9" t="s">
        <v>42</v>
      </c>
      <c r="G76" s="9" t="s">
        <v>42</v>
      </c>
    </row>
    <row r="77" spans="1:7" x14ac:dyDescent="0.2">
      <c r="A77" s="7">
        <v>45383</v>
      </c>
      <c r="B77" s="9" t="s">
        <v>31</v>
      </c>
      <c r="C77" s="10">
        <f>Demand_History!E5</f>
        <v>679</v>
      </c>
      <c r="D77" s="10">
        <f>AVERAGE(Demand_History!E2:E4)</f>
        <v>665</v>
      </c>
      <c r="E77" s="10">
        <f>(Demand_History!E2*1+Demand_History!E3*2+Demand_History!E4*3)/6</f>
        <v>673</v>
      </c>
      <c r="F77" s="10">
        <f>C77-E77</f>
        <v>6</v>
      </c>
      <c r="G77" s="12">
        <f>IFERROR(ABS(F77)/C77,"")</f>
        <v>8.836524300441826E-3</v>
      </c>
    </row>
    <row r="78" spans="1:7" x14ac:dyDescent="0.2">
      <c r="A78" s="7">
        <v>45413</v>
      </c>
      <c r="B78" s="9" t="s">
        <v>31</v>
      </c>
      <c r="C78" s="10">
        <f>Demand_History!E6</f>
        <v>654</v>
      </c>
      <c r="D78" s="10">
        <f>AVERAGE(Demand_History!E3:E5)</f>
        <v>678.66666666666663</v>
      </c>
      <c r="E78" s="10">
        <f>(Demand_History!E3*1+Demand_History!E4*2+Demand_History!E5*3)/6</f>
        <v>680</v>
      </c>
      <c r="F78" s="10">
        <f>C78-E78</f>
        <v>-26</v>
      </c>
      <c r="G78" s="12">
        <f>IFERROR(ABS(F78)/C78,"")</f>
        <v>3.9755351681957186E-2</v>
      </c>
    </row>
    <row r="79" spans="1:7" x14ac:dyDescent="0.2">
      <c r="A79" s="7">
        <v>45444</v>
      </c>
      <c r="B79" s="9" t="s">
        <v>31</v>
      </c>
      <c r="C79" s="10">
        <f>Demand_History!E7</f>
        <v>617</v>
      </c>
      <c r="D79" s="10">
        <f>AVERAGE(Demand_History!E4:E6)</f>
        <v>673</v>
      </c>
      <c r="E79" s="10">
        <f>(Demand_History!E4*1+Demand_History!E5*2+Demand_History!E6*3)/6</f>
        <v>667.66666666666663</v>
      </c>
      <c r="F79" s="10">
        <f>C79-E79</f>
        <v>-50.666666666666629</v>
      </c>
      <c r="G79" s="12">
        <f>IFERROR(ABS(F79)/C79,"")</f>
        <v>8.2117774176120956E-2</v>
      </c>
    </row>
    <row r="80" spans="1:7" x14ac:dyDescent="0.2">
      <c r="A80" s="7">
        <v>45474</v>
      </c>
      <c r="B80" s="9" t="s">
        <v>31</v>
      </c>
      <c r="C80" s="10">
        <f>Demand_History!E8</f>
        <v>580</v>
      </c>
      <c r="D80" s="10">
        <f>AVERAGE(Demand_History!E5:E7)</f>
        <v>650</v>
      </c>
      <c r="E80" s="10">
        <f>(Demand_History!E5*1+Demand_History!E6*2+Demand_History!E7*3)/6</f>
        <v>639.66666666666663</v>
      </c>
      <c r="F80" s="10">
        <f>C80-E80</f>
        <v>-59.666666666666629</v>
      </c>
      <c r="G80" s="12">
        <f>IFERROR(ABS(F80)/C80,"")</f>
        <v>0.10287356321839074</v>
      </c>
    </row>
    <row r="81" spans="1:7" x14ac:dyDescent="0.2">
      <c r="A81" s="7">
        <v>45505</v>
      </c>
      <c r="B81" s="9" t="s">
        <v>31</v>
      </c>
      <c r="C81" s="10">
        <f>Demand_History!E9</f>
        <v>553</v>
      </c>
      <c r="D81" s="10">
        <f>AVERAGE(Demand_History!E6:E8)</f>
        <v>617</v>
      </c>
      <c r="E81" s="10">
        <f>(Demand_History!E6*1+Demand_History!E7*2+Demand_History!E8*3)/6</f>
        <v>604.66666666666663</v>
      </c>
      <c r="F81" s="10">
        <f>C81-E81</f>
        <v>-51.666666666666629</v>
      </c>
      <c r="G81" s="12">
        <f>IFERROR(ABS(F81)/C81,"")</f>
        <v>9.3429776974080697E-2</v>
      </c>
    </row>
    <row r="82" spans="1:7" x14ac:dyDescent="0.2">
      <c r="A82" s="7">
        <v>45536</v>
      </c>
      <c r="B82" s="9" t="s">
        <v>31</v>
      </c>
      <c r="C82" s="10">
        <f>Demand_History!E10</f>
        <v>544</v>
      </c>
      <c r="D82" s="10">
        <f>AVERAGE(Demand_History!E7:E9)</f>
        <v>583.33333333333337</v>
      </c>
      <c r="E82" s="10">
        <f>(Demand_History!E7*1+Demand_History!E8*2+Demand_History!E9*3)/6</f>
        <v>572.66666666666663</v>
      </c>
      <c r="F82" s="10">
        <f>C82-E82</f>
        <v>-28.666666666666629</v>
      </c>
      <c r="G82" s="12">
        <f>IFERROR(ABS(F82)/C82,"")</f>
        <v>5.269607843137248E-2</v>
      </c>
    </row>
    <row r="83" spans="1:7" x14ac:dyDescent="0.2">
      <c r="A83" s="7">
        <v>45566</v>
      </c>
      <c r="B83" s="9" t="s">
        <v>31</v>
      </c>
      <c r="C83" s="10">
        <f>Demand_History!E11</f>
        <v>557</v>
      </c>
      <c r="D83" s="10">
        <f>AVERAGE(Demand_History!E8:E10)</f>
        <v>559</v>
      </c>
      <c r="E83" s="10">
        <f>(Demand_History!E8*1+Demand_History!E9*2+Demand_History!E10*3)/6</f>
        <v>553</v>
      </c>
      <c r="F83" s="10">
        <f>C83-E83</f>
        <v>4</v>
      </c>
      <c r="G83" s="12">
        <f>IFERROR(ABS(F83)/C83,"")</f>
        <v>7.1813285457809697E-3</v>
      </c>
    </row>
    <row r="84" spans="1:7" x14ac:dyDescent="0.2">
      <c r="A84" s="7">
        <v>45597</v>
      </c>
      <c r="B84" s="9" t="s">
        <v>31</v>
      </c>
      <c r="C84" s="10">
        <f>Demand_History!E12</f>
        <v>588</v>
      </c>
      <c r="D84" s="10">
        <f>AVERAGE(Demand_History!E9:E11)</f>
        <v>551.33333333333337</v>
      </c>
      <c r="E84" s="10">
        <f>(Demand_History!E9*1+Demand_History!E10*2+Demand_History!E11*3)/6</f>
        <v>552</v>
      </c>
      <c r="F84" s="10">
        <f>C84-E84</f>
        <v>36</v>
      </c>
      <c r="G84" s="12">
        <f>IFERROR(ABS(F84)/C84,"")</f>
        <v>6.1224489795918366E-2</v>
      </c>
    </row>
    <row r="85" spans="1:7" x14ac:dyDescent="0.2">
      <c r="A85" s="7">
        <v>45627</v>
      </c>
      <c r="B85" s="9" t="s">
        <v>31</v>
      </c>
      <c r="C85" s="10">
        <f>Demand_History!E13</f>
        <v>631</v>
      </c>
      <c r="D85" s="10">
        <f>AVERAGE(Demand_History!E10:E12)</f>
        <v>563</v>
      </c>
      <c r="E85" s="10">
        <f>(Demand_History!E10*1+Demand_History!E11*2+Demand_History!E12*3)/6</f>
        <v>570.33333333333337</v>
      </c>
      <c r="F85" s="10">
        <f>C85-E85</f>
        <v>60.666666666666629</v>
      </c>
      <c r="G85" s="12">
        <f>IFERROR(ABS(F85)/C85,"")</f>
        <v>9.6143687268885308E-2</v>
      </c>
    </row>
    <row r="86" spans="1:7" x14ac:dyDescent="0.2">
      <c r="A86" s="7">
        <v>45658</v>
      </c>
      <c r="B86" s="9" t="s">
        <v>31</v>
      </c>
      <c r="C86" s="10">
        <f>Demand_History!E14</f>
        <v>674</v>
      </c>
      <c r="D86" s="10">
        <f>AVERAGE(Demand_History!E11:E13)</f>
        <v>592</v>
      </c>
      <c r="E86" s="10">
        <f>(Demand_History!E11*1+Demand_History!E12*2+Demand_History!E13*3)/6</f>
        <v>604.33333333333337</v>
      </c>
      <c r="F86" s="10">
        <f>C86-E86</f>
        <v>69.666666666666629</v>
      </c>
      <c r="G86" s="12">
        <f>IFERROR(ABS(F86)/C86,"")</f>
        <v>0.10336300692383772</v>
      </c>
    </row>
    <row r="87" spans="1:7" x14ac:dyDescent="0.2">
      <c r="A87" s="7">
        <v>45689</v>
      </c>
      <c r="B87" s="9" t="s">
        <v>31</v>
      </c>
      <c r="C87" s="10">
        <f>Demand_History!E15</f>
        <v>707</v>
      </c>
      <c r="D87" s="10">
        <f>AVERAGE(Demand_History!E12:E14)</f>
        <v>631</v>
      </c>
      <c r="E87" s="10">
        <f>(Demand_History!E12*1+Demand_History!E13*2+Demand_History!E14*3)/6</f>
        <v>645.33333333333337</v>
      </c>
      <c r="F87" s="10">
        <f>C87-E87</f>
        <v>61.666666666666629</v>
      </c>
      <c r="G87" s="12">
        <f>IFERROR(ABS(F87)/C87,"")</f>
        <v>8.7223008015087172E-2</v>
      </c>
    </row>
    <row r="88" spans="1:7" x14ac:dyDescent="0.2">
      <c r="A88" s="7">
        <v>45717</v>
      </c>
      <c r="B88" s="9" t="s">
        <v>31</v>
      </c>
      <c r="C88" s="10">
        <f>Demand_History!E16</f>
        <v>722</v>
      </c>
      <c r="D88" s="10">
        <f>AVERAGE(Demand_History!E13:E15)</f>
        <v>670.66666666666663</v>
      </c>
      <c r="E88" s="10">
        <f>(Demand_History!E13*1+Demand_History!E14*2+Demand_History!E15*3)/6</f>
        <v>683.33333333333337</v>
      </c>
      <c r="F88" s="10">
        <f>C88-E88</f>
        <v>38.666666666666629</v>
      </c>
      <c r="G88" s="12">
        <f>IFERROR(ABS(F88)/C88,"")</f>
        <v>5.3554939981532726E-2</v>
      </c>
    </row>
    <row r="89" spans="1:7" x14ac:dyDescent="0.2">
      <c r="A89" s="7">
        <v>45748</v>
      </c>
      <c r="B89" s="9" t="s">
        <v>31</v>
      </c>
      <c r="C89" s="10">
        <f>Demand_History!E17</f>
        <v>715</v>
      </c>
      <c r="D89" s="10">
        <f>AVERAGE(Demand_History!E14:E16)</f>
        <v>701</v>
      </c>
      <c r="E89" s="10">
        <f>(Demand_History!E14*1+Demand_History!E15*2+Demand_History!E16*3)/6</f>
        <v>709</v>
      </c>
      <c r="F89" s="10">
        <f>C89-E89</f>
        <v>6</v>
      </c>
      <c r="G89" s="12">
        <f>IFERROR(ABS(F89)/C89,"")</f>
        <v>8.3916083916083916E-3</v>
      </c>
    </row>
    <row r="90" spans="1:7" x14ac:dyDescent="0.2">
      <c r="A90" s="7">
        <v>45778</v>
      </c>
      <c r="B90" s="9" t="s">
        <v>31</v>
      </c>
      <c r="C90" s="10">
        <f>Demand_History!E18</f>
        <v>690</v>
      </c>
      <c r="D90" s="10">
        <f>AVERAGE(Demand_History!E15:E17)</f>
        <v>714.66666666666663</v>
      </c>
      <c r="E90" s="10">
        <f>(Demand_History!E15*1+Demand_History!E16*2+Demand_History!E17*3)/6</f>
        <v>716</v>
      </c>
      <c r="F90" s="10">
        <f>C90-E90</f>
        <v>-26</v>
      </c>
      <c r="G90" s="12">
        <f>IFERROR(ABS(F90)/C90,"")</f>
        <v>3.7681159420289857E-2</v>
      </c>
    </row>
    <row r="91" spans="1:7" x14ac:dyDescent="0.2">
      <c r="A91" s="7">
        <v>45809</v>
      </c>
      <c r="B91" s="9" t="s">
        <v>31</v>
      </c>
      <c r="C91" s="10">
        <f>Demand_History!E19</f>
        <v>653</v>
      </c>
      <c r="D91" s="10">
        <f>AVERAGE(Demand_History!E16:E18)</f>
        <v>709</v>
      </c>
      <c r="E91" s="10">
        <f>(Demand_History!E16*1+Demand_History!E17*2+Demand_History!E18*3)/6</f>
        <v>703.66666666666663</v>
      </c>
      <c r="F91" s="10">
        <f>C91-E91</f>
        <v>-50.666666666666629</v>
      </c>
      <c r="G91" s="12">
        <f>IFERROR(ABS(F91)/C91,"")</f>
        <v>7.7590607452781971E-2</v>
      </c>
    </row>
    <row r="92" spans="1:7" x14ac:dyDescent="0.2">
      <c r="A92" s="7">
        <v>45839</v>
      </c>
      <c r="B92" s="9" t="s">
        <v>31</v>
      </c>
      <c r="C92" s="10">
        <f>Demand_History!E20</f>
        <v>616</v>
      </c>
      <c r="D92" s="10">
        <f>AVERAGE(Demand_History!E17:E19)</f>
        <v>686</v>
      </c>
      <c r="E92" s="10">
        <f>(Demand_History!E17*1+Demand_History!E18*2+Demand_History!E19*3)/6</f>
        <v>675.66666666666663</v>
      </c>
      <c r="F92" s="10">
        <f>C92-E92</f>
        <v>-59.666666666666629</v>
      </c>
      <c r="G92" s="12">
        <f>IFERROR(ABS(F92)/C92,"")</f>
        <v>9.6861471861471801E-2</v>
      </c>
    </row>
    <row r="93" spans="1:7" x14ac:dyDescent="0.2">
      <c r="A93" s="7">
        <v>45870</v>
      </c>
      <c r="B93" s="9" t="s">
        <v>31</v>
      </c>
      <c r="C93" s="10">
        <f>Demand_History!E21</f>
        <v>589</v>
      </c>
      <c r="D93" s="10">
        <f>AVERAGE(Demand_History!E18:E20)</f>
        <v>653</v>
      </c>
      <c r="E93" s="10">
        <f>(Demand_History!E18*1+Demand_History!E19*2+Demand_History!E20*3)/6</f>
        <v>640.66666666666663</v>
      </c>
      <c r="F93" s="10">
        <f>C93-E93</f>
        <v>-51.666666666666629</v>
      </c>
      <c r="G93" s="12">
        <f>IFERROR(ABS(F93)/C93,"")</f>
        <v>8.7719298245613975E-2</v>
      </c>
    </row>
    <row r="94" spans="1:7" x14ac:dyDescent="0.2">
      <c r="A94" s="7">
        <v>45901</v>
      </c>
      <c r="B94" s="9" t="s">
        <v>31</v>
      </c>
      <c r="C94" s="10">
        <f>Demand_History!E22</f>
        <v>580</v>
      </c>
      <c r="D94" s="10">
        <f>AVERAGE(Demand_History!E19:E21)</f>
        <v>619.33333333333337</v>
      </c>
      <c r="E94" s="10">
        <f>(Demand_History!E19*1+Demand_History!E20*2+Demand_History!E21*3)/6</f>
        <v>608.66666666666663</v>
      </c>
      <c r="F94" s="10">
        <f>C94-E94</f>
        <v>-28.666666666666629</v>
      </c>
      <c r="G94" s="12">
        <f>IFERROR(ABS(F94)/C94,"")</f>
        <v>4.9425287356321776E-2</v>
      </c>
    </row>
    <row r="95" spans="1:7" x14ac:dyDescent="0.2">
      <c r="A95" s="7">
        <v>45931</v>
      </c>
      <c r="B95" s="9" t="s">
        <v>31</v>
      </c>
      <c r="C95" s="10">
        <f>Demand_History!E23</f>
        <v>593</v>
      </c>
      <c r="D95" s="10">
        <f>AVERAGE(Demand_History!E20:E22)</f>
        <v>595</v>
      </c>
      <c r="E95" s="10">
        <f>(Demand_History!E20*1+Demand_History!E21*2+Demand_History!E22*3)/6</f>
        <v>589</v>
      </c>
      <c r="F95" s="10">
        <f>C95-E95</f>
        <v>4</v>
      </c>
      <c r="G95" s="12">
        <f>IFERROR(ABS(F95)/C95,"")</f>
        <v>6.7453625632377737E-3</v>
      </c>
    </row>
    <row r="96" spans="1:7" x14ac:dyDescent="0.2">
      <c r="A96" s="7">
        <v>45962</v>
      </c>
      <c r="B96" s="9" t="s">
        <v>31</v>
      </c>
      <c r="C96" s="10">
        <f>Demand_History!E24</f>
        <v>624</v>
      </c>
      <c r="D96" s="10">
        <f>AVERAGE(Demand_History!E21:E23)</f>
        <v>587.33333333333337</v>
      </c>
      <c r="E96" s="10">
        <f>(Demand_History!E21*1+Demand_History!E22*2+Demand_History!E23*3)/6</f>
        <v>588</v>
      </c>
      <c r="F96" s="10">
        <f>C96-E96</f>
        <v>36</v>
      </c>
      <c r="G96" s="12">
        <f>IFERROR(ABS(F96)/C96,"")</f>
        <v>5.7692307692307696E-2</v>
      </c>
    </row>
    <row r="97" spans="1:7" x14ac:dyDescent="0.2">
      <c r="A97" s="7">
        <v>45992</v>
      </c>
      <c r="B97" s="9" t="s">
        <v>31</v>
      </c>
      <c r="C97" s="10">
        <f>Demand_History!E25</f>
        <v>667</v>
      </c>
      <c r="D97" s="10">
        <f>AVERAGE(Demand_History!E22:E24)</f>
        <v>599</v>
      </c>
      <c r="E97" s="10">
        <f>(Demand_History!E22*1+Demand_History!E23*2+Demand_History!E24*3)/6</f>
        <v>606.33333333333337</v>
      </c>
      <c r="F97" s="10">
        <f>C97-E97</f>
        <v>60.666666666666629</v>
      </c>
      <c r="G97" s="12">
        <f>IFERROR(ABS(F97)/C97,"")</f>
        <v>9.0954522738630625E-2</v>
      </c>
    </row>
    <row r="98" spans="1:7" x14ac:dyDescent="0.2">
      <c r="A98" s="7">
        <v>45292</v>
      </c>
      <c r="B98" s="9" t="s">
        <v>32</v>
      </c>
      <c r="C98" s="10">
        <f>Demand_History!F2</f>
        <v>460</v>
      </c>
      <c r="D98" s="9" t="s">
        <v>42</v>
      </c>
      <c r="E98" s="9" t="s">
        <v>42</v>
      </c>
      <c r="F98" s="9" t="s">
        <v>42</v>
      </c>
      <c r="G98" s="9" t="s">
        <v>42</v>
      </c>
    </row>
    <row r="99" spans="1:7" x14ac:dyDescent="0.2">
      <c r="A99" s="7">
        <v>45323</v>
      </c>
      <c r="B99" s="9" t="s">
        <v>32</v>
      </c>
      <c r="C99" s="10">
        <f>Demand_History!F3</f>
        <v>458</v>
      </c>
      <c r="D99" s="9" t="s">
        <v>42</v>
      </c>
      <c r="E99" s="9" t="s">
        <v>42</v>
      </c>
      <c r="F99" s="9" t="s">
        <v>42</v>
      </c>
      <c r="G99" s="9" t="s">
        <v>42</v>
      </c>
    </row>
    <row r="100" spans="1:7" x14ac:dyDescent="0.2">
      <c r="A100" s="7">
        <v>45352</v>
      </c>
      <c r="B100" s="9" t="s">
        <v>32</v>
      </c>
      <c r="C100" s="10">
        <f>Demand_History!F4</f>
        <v>442</v>
      </c>
      <c r="D100" s="9" t="s">
        <v>42</v>
      </c>
      <c r="E100" s="9" t="s">
        <v>42</v>
      </c>
      <c r="F100" s="9" t="s">
        <v>42</v>
      </c>
      <c r="G100" s="9" t="s">
        <v>42</v>
      </c>
    </row>
    <row r="101" spans="1:7" x14ac:dyDescent="0.2">
      <c r="A101" s="7">
        <v>45383</v>
      </c>
      <c r="B101" s="9" t="s">
        <v>32</v>
      </c>
      <c r="C101" s="10">
        <f>Demand_History!F5</f>
        <v>416</v>
      </c>
      <c r="D101" s="10">
        <f>AVERAGE(Demand_History!F2:F4)</f>
        <v>453.33333333333331</v>
      </c>
      <c r="E101" s="10">
        <f>(Demand_History!F2*1+Demand_History!F3*2+Demand_History!F4*3)/6</f>
        <v>450.33333333333331</v>
      </c>
      <c r="F101" s="10">
        <f>C101-E101</f>
        <v>-34.333333333333314</v>
      </c>
      <c r="G101" s="12">
        <f>IFERROR(ABS(F101)/C101,"")</f>
        <v>8.2532051282051239E-2</v>
      </c>
    </row>
    <row r="102" spans="1:7" x14ac:dyDescent="0.2">
      <c r="A102" s="7">
        <v>45413</v>
      </c>
      <c r="B102" s="9" t="s">
        <v>32</v>
      </c>
      <c r="C102" s="10">
        <f>Demand_History!F6</f>
        <v>390</v>
      </c>
      <c r="D102" s="10">
        <f>AVERAGE(Demand_History!F3:F5)</f>
        <v>438.66666666666669</v>
      </c>
      <c r="E102" s="10">
        <f>(Demand_History!F3*1+Demand_History!F4*2+Demand_History!F5*3)/6</f>
        <v>431.66666666666669</v>
      </c>
      <c r="F102" s="10">
        <f>C102-E102</f>
        <v>-41.666666666666686</v>
      </c>
      <c r="G102" s="12">
        <f>IFERROR(ABS(F102)/C102,"")</f>
        <v>0.10683760683760689</v>
      </c>
    </row>
    <row r="103" spans="1:7" x14ac:dyDescent="0.2">
      <c r="A103" s="7">
        <v>45444</v>
      </c>
      <c r="B103" s="9" t="s">
        <v>32</v>
      </c>
      <c r="C103" s="10">
        <f>Demand_History!F7</f>
        <v>370</v>
      </c>
      <c r="D103" s="10">
        <f>AVERAGE(Demand_History!F4:F6)</f>
        <v>416</v>
      </c>
      <c r="E103" s="10">
        <f>(Demand_History!F4*1+Demand_History!F5*2+Demand_History!F6*3)/6</f>
        <v>407.33333333333331</v>
      </c>
      <c r="F103" s="10">
        <f>C103-E103</f>
        <v>-37.333333333333314</v>
      </c>
      <c r="G103" s="12">
        <f>IFERROR(ABS(F103)/C103,"")</f>
        <v>0.10090090090090086</v>
      </c>
    </row>
    <row r="104" spans="1:7" x14ac:dyDescent="0.2">
      <c r="A104" s="7">
        <v>45474</v>
      </c>
      <c r="B104" s="9" t="s">
        <v>32</v>
      </c>
      <c r="C104" s="10">
        <f>Demand_History!F8</f>
        <v>364</v>
      </c>
      <c r="D104" s="10">
        <f>AVERAGE(Demand_History!F5:F7)</f>
        <v>392</v>
      </c>
      <c r="E104" s="10">
        <f>(Demand_History!F5*1+Demand_History!F6*2+Demand_History!F7*3)/6</f>
        <v>384.33333333333331</v>
      </c>
      <c r="F104" s="10">
        <f>C104-E104</f>
        <v>-20.333333333333314</v>
      </c>
      <c r="G104" s="12">
        <f>IFERROR(ABS(F104)/C104,"")</f>
        <v>5.5860805860805808E-2</v>
      </c>
    </row>
    <row r="105" spans="1:7" x14ac:dyDescent="0.2">
      <c r="A105" s="7">
        <v>45505</v>
      </c>
      <c r="B105" s="9" t="s">
        <v>32</v>
      </c>
      <c r="C105" s="10">
        <f>Demand_History!F9</f>
        <v>374</v>
      </c>
      <c r="D105" s="10">
        <f>AVERAGE(Demand_History!F6:F8)</f>
        <v>374.66666666666669</v>
      </c>
      <c r="E105" s="10">
        <f>(Demand_History!F6*1+Demand_History!F7*2+Demand_History!F8*3)/6</f>
        <v>370.33333333333331</v>
      </c>
      <c r="F105" s="10">
        <f>C105-E105</f>
        <v>3.6666666666666856</v>
      </c>
      <c r="G105" s="12">
        <f>IFERROR(ABS(F105)/C105,"")</f>
        <v>9.8039215686275012E-3</v>
      </c>
    </row>
    <row r="106" spans="1:7" x14ac:dyDescent="0.2">
      <c r="A106" s="7">
        <v>45536</v>
      </c>
      <c r="B106" s="9" t="s">
        <v>32</v>
      </c>
      <c r="C106" s="10">
        <f>Demand_History!F10</f>
        <v>398</v>
      </c>
      <c r="D106" s="10">
        <f>AVERAGE(Demand_History!F7:F9)</f>
        <v>369.33333333333331</v>
      </c>
      <c r="E106" s="10">
        <f>(Demand_History!F7*1+Demand_History!F8*2+Demand_History!F9*3)/6</f>
        <v>370</v>
      </c>
      <c r="F106" s="10">
        <f>C106-E106</f>
        <v>28</v>
      </c>
      <c r="G106" s="12">
        <f>IFERROR(ABS(F106)/C106,"")</f>
        <v>7.0351758793969849E-2</v>
      </c>
    </row>
    <row r="107" spans="1:7" x14ac:dyDescent="0.2">
      <c r="A107" s="7">
        <v>45566</v>
      </c>
      <c r="B107" s="9" t="s">
        <v>32</v>
      </c>
      <c r="C107" s="10">
        <f>Demand_History!F11</f>
        <v>432</v>
      </c>
      <c r="D107" s="10">
        <f>AVERAGE(Demand_History!F8:F10)</f>
        <v>378.66666666666669</v>
      </c>
      <c r="E107" s="10">
        <f>(Demand_History!F8*1+Demand_History!F9*2+Demand_History!F10*3)/6</f>
        <v>384.33333333333331</v>
      </c>
      <c r="F107" s="10">
        <f>C107-E107</f>
        <v>47.666666666666686</v>
      </c>
      <c r="G107" s="12">
        <f>IFERROR(ABS(F107)/C107,"")</f>
        <v>0.11033950617283955</v>
      </c>
    </row>
    <row r="108" spans="1:7" x14ac:dyDescent="0.2">
      <c r="A108" s="7">
        <v>45597</v>
      </c>
      <c r="B108" s="9" t="s">
        <v>32</v>
      </c>
      <c r="C108" s="10">
        <f>Demand_History!F12</f>
        <v>466</v>
      </c>
      <c r="D108" s="10">
        <f>AVERAGE(Demand_History!F9:F11)</f>
        <v>401.33333333333331</v>
      </c>
      <c r="E108" s="10">
        <f>(Demand_History!F9*1+Demand_History!F10*2+Demand_History!F11*3)/6</f>
        <v>411</v>
      </c>
      <c r="F108" s="10">
        <f>C108-E108</f>
        <v>55</v>
      </c>
      <c r="G108" s="12">
        <f>IFERROR(ABS(F108)/C108,"")</f>
        <v>0.11802575107296137</v>
      </c>
    </row>
    <row r="109" spans="1:7" x14ac:dyDescent="0.2">
      <c r="A109" s="7">
        <v>45627</v>
      </c>
      <c r="B109" s="9" t="s">
        <v>32</v>
      </c>
      <c r="C109" s="10">
        <f>Demand_History!F13</f>
        <v>494</v>
      </c>
      <c r="D109" s="10">
        <f>AVERAGE(Demand_History!F10:F12)</f>
        <v>432</v>
      </c>
      <c r="E109" s="10">
        <f>(Demand_History!F10*1+Demand_History!F11*2+Demand_History!F12*3)/6</f>
        <v>443.33333333333331</v>
      </c>
      <c r="F109" s="10">
        <f>C109-E109</f>
        <v>50.666666666666686</v>
      </c>
      <c r="G109" s="12">
        <f>IFERROR(ABS(F109)/C109,"")</f>
        <v>0.1025641025641026</v>
      </c>
    </row>
    <row r="110" spans="1:7" x14ac:dyDescent="0.2">
      <c r="A110" s="7">
        <v>45658</v>
      </c>
      <c r="B110" s="9" t="s">
        <v>32</v>
      </c>
      <c r="C110" s="10">
        <f>Demand_History!F14</f>
        <v>508</v>
      </c>
      <c r="D110" s="10">
        <f>AVERAGE(Demand_History!F11:F13)</f>
        <v>464</v>
      </c>
      <c r="E110" s="10">
        <f>(Demand_History!F11*1+Demand_History!F12*2+Demand_History!F13*3)/6</f>
        <v>474.33333333333331</v>
      </c>
      <c r="F110" s="10">
        <f>C110-E110</f>
        <v>33.666666666666686</v>
      </c>
      <c r="G110" s="12">
        <f>IFERROR(ABS(F110)/C110,"")</f>
        <v>6.6272965879265136E-2</v>
      </c>
    </row>
    <row r="111" spans="1:7" x14ac:dyDescent="0.2">
      <c r="A111" s="7">
        <v>45689</v>
      </c>
      <c r="B111" s="9" t="s">
        <v>32</v>
      </c>
      <c r="C111" s="10">
        <f>Demand_History!F15</f>
        <v>506</v>
      </c>
      <c r="D111" s="10">
        <f>AVERAGE(Demand_History!F12:F14)</f>
        <v>489.33333333333331</v>
      </c>
      <c r="E111" s="10">
        <f>(Demand_History!F12*1+Demand_History!F13*2+Demand_History!F14*3)/6</f>
        <v>496.33333333333331</v>
      </c>
      <c r="F111" s="10">
        <f>C111-E111</f>
        <v>9.6666666666666856</v>
      </c>
      <c r="G111" s="12">
        <f>IFERROR(ABS(F111)/C111,"")</f>
        <v>1.9104084321475662E-2</v>
      </c>
    </row>
    <row r="112" spans="1:7" x14ac:dyDescent="0.2">
      <c r="A112" s="7">
        <v>45717</v>
      </c>
      <c r="B112" s="9" t="s">
        <v>32</v>
      </c>
      <c r="C112" s="10">
        <f>Demand_History!F16</f>
        <v>490</v>
      </c>
      <c r="D112" s="10">
        <f>AVERAGE(Demand_History!F13:F15)</f>
        <v>502.66666666666669</v>
      </c>
      <c r="E112" s="10">
        <f>(Demand_History!F13*1+Demand_History!F14*2+Demand_History!F15*3)/6</f>
        <v>504.66666666666669</v>
      </c>
      <c r="F112" s="10">
        <f>C112-E112</f>
        <v>-14.666666666666686</v>
      </c>
      <c r="G112" s="12">
        <f>IFERROR(ABS(F112)/C112,"")</f>
        <v>2.9931972789115684E-2</v>
      </c>
    </row>
    <row r="113" spans="1:7" x14ac:dyDescent="0.2">
      <c r="A113" s="7">
        <v>45748</v>
      </c>
      <c r="B113" s="9" t="s">
        <v>32</v>
      </c>
      <c r="C113" s="10">
        <f>Demand_History!F17</f>
        <v>464</v>
      </c>
      <c r="D113" s="10">
        <f>AVERAGE(Demand_History!F14:F16)</f>
        <v>501.33333333333331</v>
      </c>
      <c r="E113" s="10">
        <f>(Demand_History!F14*1+Demand_History!F15*2+Demand_History!F16*3)/6</f>
        <v>498.33333333333331</v>
      </c>
      <c r="F113" s="10">
        <f>C113-E113</f>
        <v>-34.333333333333314</v>
      </c>
      <c r="G113" s="12">
        <f>IFERROR(ABS(F113)/C113,"")</f>
        <v>7.3994252873563177E-2</v>
      </c>
    </row>
    <row r="114" spans="1:7" x14ac:dyDescent="0.2">
      <c r="A114" s="7">
        <v>45778</v>
      </c>
      <c r="B114" s="9" t="s">
        <v>32</v>
      </c>
      <c r="C114" s="10">
        <f>Demand_History!F18</f>
        <v>438</v>
      </c>
      <c r="D114" s="10">
        <f>AVERAGE(Demand_History!F15:F17)</f>
        <v>486.66666666666669</v>
      </c>
      <c r="E114" s="10">
        <f>(Demand_History!F15*1+Demand_History!F16*2+Demand_History!F17*3)/6</f>
        <v>479.66666666666669</v>
      </c>
      <c r="F114" s="10">
        <f>C114-E114</f>
        <v>-41.666666666666686</v>
      </c>
      <c r="G114" s="12">
        <f>IFERROR(ABS(F114)/C114,"")</f>
        <v>9.5129375951293796E-2</v>
      </c>
    </row>
    <row r="115" spans="1:7" x14ac:dyDescent="0.2">
      <c r="A115" s="7">
        <v>45809</v>
      </c>
      <c r="B115" s="9" t="s">
        <v>32</v>
      </c>
      <c r="C115" s="10">
        <f>Demand_History!F19</f>
        <v>418</v>
      </c>
      <c r="D115" s="10">
        <f>AVERAGE(Demand_History!F16:F18)</f>
        <v>464</v>
      </c>
      <c r="E115" s="10">
        <f>(Demand_History!F16*1+Demand_History!F17*2+Demand_History!F18*3)/6</f>
        <v>455.33333333333331</v>
      </c>
      <c r="F115" s="10">
        <f>C115-E115</f>
        <v>-37.333333333333314</v>
      </c>
      <c r="G115" s="12">
        <f>IFERROR(ABS(F115)/C115,"")</f>
        <v>8.9314194577352429E-2</v>
      </c>
    </row>
    <row r="116" spans="1:7" x14ac:dyDescent="0.2">
      <c r="A116" s="7">
        <v>45839</v>
      </c>
      <c r="B116" s="9" t="s">
        <v>32</v>
      </c>
      <c r="C116" s="10">
        <f>Demand_History!F20</f>
        <v>412</v>
      </c>
      <c r="D116" s="10">
        <f>AVERAGE(Demand_History!F17:F19)</f>
        <v>440</v>
      </c>
      <c r="E116" s="10">
        <f>(Demand_History!F17*1+Demand_History!F18*2+Demand_History!F19*3)/6</f>
        <v>432.33333333333331</v>
      </c>
      <c r="F116" s="10">
        <f>C116-E116</f>
        <v>-20.333333333333314</v>
      </c>
      <c r="G116" s="12">
        <f>IFERROR(ABS(F116)/C116,"")</f>
        <v>4.9352750809061444E-2</v>
      </c>
    </row>
    <row r="117" spans="1:7" x14ac:dyDescent="0.2">
      <c r="A117" s="7">
        <v>45870</v>
      </c>
      <c r="B117" s="9" t="s">
        <v>32</v>
      </c>
      <c r="C117" s="10">
        <f>Demand_History!F21</f>
        <v>422</v>
      </c>
      <c r="D117" s="10">
        <f>AVERAGE(Demand_History!F18:F20)</f>
        <v>422.66666666666669</v>
      </c>
      <c r="E117" s="10">
        <f>(Demand_History!F18*1+Demand_History!F19*2+Demand_History!F20*3)/6</f>
        <v>418.33333333333331</v>
      </c>
      <c r="F117" s="10">
        <f>C117-E117</f>
        <v>3.6666666666666856</v>
      </c>
      <c r="G117" s="12">
        <f>IFERROR(ABS(F117)/C117,"")</f>
        <v>8.6887835703002032E-3</v>
      </c>
    </row>
    <row r="118" spans="1:7" x14ac:dyDescent="0.2">
      <c r="A118" s="7">
        <v>45901</v>
      </c>
      <c r="B118" s="9" t="s">
        <v>32</v>
      </c>
      <c r="C118" s="10">
        <f>Demand_History!F22</f>
        <v>446</v>
      </c>
      <c r="D118" s="10">
        <f>AVERAGE(Demand_History!F19:F21)</f>
        <v>417.33333333333331</v>
      </c>
      <c r="E118" s="10">
        <f>(Demand_History!F19*1+Demand_History!F20*2+Demand_History!F21*3)/6</f>
        <v>418</v>
      </c>
      <c r="F118" s="10">
        <f>C118-E118</f>
        <v>28</v>
      </c>
      <c r="G118" s="12">
        <f>IFERROR(ABS(F118)/C118,"")</f>
        <v>6.2780269058295965E-2</v>
      </c>
    </row>
    <row r="119" spans="1:7" x14ac:dyDescent="0.2">
      <c r="A119" s="7">
        <v>45931</v>
      </c>
      <c r="B119" s="9" t="s">
        <v>32</v>
      </c>
      <c r="C119" s="10">
        <f>Demand_History!F23</f>
        <v>480</v>
      </c>
      <c r="D119" s="10">
        <f>AVERAGE(Demand_History!F20:F22)</f>
        <v>426.66666666666669</v>
      </c>
      <c r="E119" s="10">
        <f>(Demand_History!F20*1+Demand_History!F21*2+Demand_History!F22*3)/6</f>
        <v>432.33333333333331</v>
      </c>
      <c r="F119" s="10">
        <f>C119-E119</f>
        <v>47.666666666666686</v>
      </c>
      <c r="G119" s="12">
        <f>IFERROR(ABS(F119)/C119,"")</f>
        <v>9.9305555555555591E-2</v>
      </c>
    </row>
    <row r="120" spans="1:7" x14ac:dyDescent="0.2">
      <c r="A120" s="7">
        <v>45962</v>
      </c>
      <c r="B120" s="9" t="s">
        <v>32</v>
      </c>
      <c r="C120" s="10">
        <f>Demand_History!F24</f>
        <v>514</v>
      </c>
      <c r="D120" s="10">
        <f>AVERAGE(Demand_History!F21:F23)</f>
        <v>449.33333333333331</v>
      </c>
      <c r="E120" s="10">
        <f>(Demand_History!F21*1+Demand_History!F22*2+Demand_History!F23*3)/6</f>
        <v>459</v>
      </c>
      <c r="F120" s="10">
        <f>C120-E120</f>
        <v>55</v>
      </c>
      <c r="G120" s="12">
        <f>IFERROR(ABS(F120)/C120,"")</f>
        <v>0.10700389105058365</v>
      </c>
    </row>
    <row r="121" spans="1:7" x14ac:dyDescent="0.2">
      <c r="A121" s="7">
        <v>45992</v>
      </c>
      <c r="B121" s="9" t="s">
        <v>32</v>
      </c>
      <c r="C121" s="10">
        <f>Demand_History!F25</f>
        <v>542</v>
      </c>
      <c r="D121" s="10">
        <f>AVERAGE(Demand_History!F22:F24)</f>
        <v>480</v>
      </c>
      <c r="E121" s="10">
        <f>(Demand_History!F22*1+Demand_History!F23*2+Demand_History!F24*3)/6</f>
        <v>491.33333333333331</v>
      </c>
      <c r="F121" s="10">
        <f>C121-E121</f>
        <v>50.666666666666686</v>
      </c>
      <c r="G121" s="12">
        <f>IFERROR(ABS(F121)/C121,"")</f>
        <v>9.3480934809348132E-2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421875" defaultRowHeight="15" x14ac:dyDescent="0.2"/>
  <cols>
    <col min="1" max="1" width="9.953125" customWidth="1"/>
    <col min="2" max="3" width="13.046875" customWidth="1"/>
    <col min="4" max="4" width="11.02734375" customWidth="1"/>
    <col min="5" max="5" width="9.953125" customWidth="1"/>
    <col min="6" max="6" width="11.02734375" customWidth="1"/>
    <col min="7" max="7" width="13.98828125" customWidth="1"/>
    <col min="8" max="8" width="14.9296875" customWidth="1"/>
    <col min="9" max="10" width="11.97265625" customWidth="1"/>
    <col min="11" max="11" width="9.953125" customWidth="1"/>
    <col min="12" max="12" width="13.98828125" customWidth="1"/>
  </cols>
  <sheetData>
    <row r="1" spans="1:12" x14ac:dyDescent="0.2">
      <c r="A1" s="13" t="s">
        <v>43</v>
      </c>
      <c r="B1" s="14" t="s">
        <v>44</v>
      </c>
      <c r="D1" s="15" t="s">
        <v>45</v>
      </c>
    </row>
    <row r="3" spans="1:12" ht="31.5" customHeight="1" x14ac:dyDescent="0.2">
      <c r="A3" s="6" t="s">
        <v>34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52</v>
      </c>
      <c r="I3" s="6" t="s">
        <v>53</v>
      </c>
      <c r="J3" s="6" t="s">
        <v>54</v>
      </c>
      <c r="K3" s="6" t="s">
        <v>55</v>
      </c>
      <c r="L3" s="6" t="s">
        <v>56</v>
      </c>
    </row>
    <row r="4" spans="1:12" x14ac:dyDescent="0.2">
      <c r="A4" s="16" t="s">
        <v>28</v>
      </c>
      <c r="B4" s="10">
        <f>ROUND(AVERAGE(Demand_History!B2:B25),0)</f>
        <v>1292</v>
      </c>
      <c r="C4" s="10">
        <f>MAX(Demand_History!B2:B25)</f>
        <v>1470</v>
      </c>
      <c r="D4" s="17">
        <v>1</v>
      </c>
      <c r="E4" s="10">
        <f>ROUND((C4-B4)*D4,0)</f>
        <v>178</v>
      </c>
      <c r="F4" s="10">
        <f>ROUND((B4*D4)+E4,0)</f>
        <v>1470</v>
      </c>
      <c r="G4" s="8">
        <v>800</v>
      </c>
      <c r="H4" s="8">
        <v>40</v>
      </c>
      <c r="I4" s="10">
        <f>B4*12</f>
        <v>15504</v>
      </c>
      <c r="J4" s="10">
        <f>ROUND(SQRT((2*I4*G4)/H4),0)</f>
        <v>788</v>
      </c>
      <c r="K4" s="8">
        <v>1650</v>
      </c>
      <c r="L4" s="16" t="str">
        <f>IF(K4&lt;=F4,"Reorder Now","OK")</f>
        <v>OK</v>
      </c>
    </row>
    <row r="5" spans="1:12" x14ac:dyDescent="0.2">
      <c r="A5" s="16" t="s">
        <v>29</v>
      </c>
      <c r="B5" s="10">
        <f>ROUND(AVERAGE(Demand_History!C2:C25),0)</f>
        <v>858</v>
      </c>
      <c r="C5" s="10">
        <f>MAX(Demand_History!C2:C25)</f>
        <v>965</v>
      </c>
      <c r="D5" s="17">
        <v>1.5</v>
      </c>
      <c r="E5" s="10">
        <f>ROUND((C5-B5)*D5,0)</f>
        <v>161</v>
      </c>
      <c r="F5" s="10">
        <f>ROUND((B5*D5)+E5,0)</f>
        <v>1448</v>
      </c>
      <c r="G5" s="8">
        <v>600</v>
      </c>
      <c r="H5" s="8">
        <v>35</v>
      </c>
      <c r="I5" s="10">
        <f>B5*12</f>
        <v>10296</v>
      </c>
      <c r="J5" s="10">
        <f>ROUND(SQRT((2*I5*G5)/H5),0)</f>
        <v>594</v>
      </c>
      <c r="K5" s="8">
        <v>1300</v>
      </c>
      <c r="L5" s="16" t="str">
        <f>IF(K5&lt;=F5,"Reorder Now","OK")</f>
        <v>Reorder Now</v>
      </c>
    </row>
    <row r="6" spans="1:12" x14ac:dyDescent="0.2">
      <c r="A6" s="16" t="s">
        <v>30</v>
      </c>
      <c r="B6" s="10">
        <f>ROUND(AVERAGE(Demand_History!D2:D25),0)</f>
        <v>1615</v>
      </c>
      <c r="C6" s="10">
        <f>MAX(Demand_History!D2:D25)</f>
        <v>1929</v>
      </c>
      <c r="D6" s="17">
        <v>2</v>
      </c>
      <c r="E6" s="10">
        <f>ROUND((C6-B6)*D6,0)</f>
        <v>628</v>
      </c>
      <c r="F6" s="10">
        <f>ROUND((B6*D6)+E6,0)</f>
        <v>3858</v>
      </c>
      <c r="G6" s="8">
        <v>750</v>
      </c>
      <c r="H6" s="8">
        <v>25</v>
      </c>
      <c r="I6" s="10">
        <f>B6*12</f>
        <v>19380</v>
      </c>
      <c r="J6" s="10">
        <f>ROUND(SQRT((2*I6*G6)/H6),0)</f>
        <v>1078</v>
      </c>
      <c r="K6" s="8">
        <v>4200</v>
      </c>
      <c r="L6" s="16" t="str">
        <f>IF(K6&lt;=F6,"Reorder Now","OK")</f>
        <v>OK</v>
      </c>
    </row>
    <row r="7" spans="1:12" x14ac:dyDescent="0.2">
      <c r="A7" s="16" t="s">
        <v>31</v>
      </c>
      <c r="B7" s="10">
        <f>ROUND(AVERAGE(Demand_History!E2:E25),0)</f>
        <v>635</v>
      </c>
      <c r="C7" s="10">
        <f>MAX(Demand_History!E2:E25)</f>
        <v>722</v>
      </c>
      <c r="D7" s="17">
        <v>1</v>
      </c>
      <c r="E7" s="10">
        <f>ROUND((C7-B7)*D7,0)</f>
        <v>87</v>
      </c>
      <c r="F7" s="10">
        <f>ROUND((B7*D7)+E7,0)</f>
        <v>722</v>
      </c>
      <c r="G7" s="8">
        <v>500</v>
      </c>
      <c r="H7" s="8">
        <v>20</v>
      </c>
      <c r="I7" s="10">
        <f>B7*12</f>
        <v>7620</v>
      </c>
      <c r="J7" s="10">
        <f>ROUND(SQRT((2*I7*G7)/H7),0)</f>
        <v>617</v>
      </c>
      <c r="K7" s="8">
        <v>650</v>
      </c>
      <c r="L7" s="16" t="str">
        <f>IF(K7&lt;=F7,"Reorder Now","OK")</f>
        <v>Reorder Now</v>
      </c>
    </row>
    <row r="8" spans="1:12" x14ac:dyDescent="0.2">
      <c r="A8" s="16" t="s">
        <v>32</v>
      </c>
      <c r="B8" s="10">
        <f>ROUND(AVERAGE(Demand_History!F2:F25),0)</f>
        <v>446</v>
      </c>
      <c r="C8" s="10">
        <f>MAX(Demand_History!F2:F25)</f>
        <v>542</v>
      </c>
      <c r="D8" s="17">
        <v>2.5</v>
      </c>
      <c r="E8" s="10">
        <f>ROUND((C8-B8)*D8,0)</f>
        <v>240</v>
      </c>
      <c r="F8" s="10">
        <f>ROUND((B8*D8)+E8,0)</f>
        <v>1355</v>
      </c>
      <c r="G8" s="8">
        <v>900</v>
      </c>
      <c r="H8" s="8">
        <v>50</v>
      </c>
      <c r="I8" s="10">
        <f>B8*12</f>
        <v>5352</v>
      </c>
      <c r="J8" s="10">
        <f>ROUND(SQRT((2*I8*G8)/H8),0)</f>
        <v>439</v>
      </c>
      <c r="K8" s="8">
        <v>1500</v>
      </c>
      <c r="L8" s="16" t="str">
        <f>IF(K8&lt;=F8,"Reorder Now","OK")</f>
        <v>OK</v>
      </c>
    </row>
  </sheetData>
  <conditionalFormatting sqref="L4:L8">
    <cfRule type="cellIs" dxfId="3" priority="2" operator="equal">
      <formula>"Reorder Now"</formula>
    </cfRule>
    <cfRule type="cellIs" dxfId="2" priority="3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11.02734375" customWidth="1"/>
    <col min="2" max="2" width="9.953125" customWidth="1"/>
    <col min="3" max="3" width="13.046875" customWidth="1"/>
    <col min="4" max="4" width="14.9296875" customWidth="1"/>
    <col min="5" max="5" width="13.046875" customWidth="1"/>
    <col min="6" max="6" width="11.97265625" customWidth="1"/>
    <col min="7" max="7" width="14.9296875" customWidth="1"/>
    <col min="8" max="8" width="13.046875" customWidth="1"/>
  </cols>
  <sheetData>
    <row r="1" spans="1:8" ht="27" x14ac:dyDescent="0.2">
      <c r="A1" s="6" t="s">
        <v>27</v>
      </c>
      <c r="B1" s="6" t="s">
        <v>34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</row>
    <row r="2" spans="1:8" x14ac:dyDescent="0.2">
      <c r="A2" s="7">
        <v>46023</v>
      </c>
      <c r="B2" s="9" t="s">
        <v>28</v>
      </c>
      <c r="C2" s="10">
        <f>Supply_Planning!K4</f>
        <v>1650</v>
      </c>
      <c r="D2" s="10">
        <f>ROUND((Demand_History!B23*1+Demand_History!B24*2+Demand_History!B25*3)/6,0)</f>
        <v>1273</v>
      </c>
      <c r="E2" s="10">
        <f>Supply_Planning!F4</f>
        <v>1470</v>
      </c>
      <c r="F2" s="10">
        <f>Supply_Planning!E4</f>
        <v>178</v>
      </c>
      <c r="G2" s="18">
        <f>IF((C2-D2)&lt;E2,ROUND((E2+Supply_Planning!J4)-(C2-D2),0),0)</f>
        <v>1881</v>
      </c>
      <c r="H2" s="10">
        <f>C2-D2+G2</f>
        <v>2258</v>
      </c>
    </row>
    <row r="3" spans="1:8" x14ac:dyDescent="0.2">
      <c r="A3" s="7">
        <v>46054</v>
      </c>
      <c r="B3" s="9" t="s">
        <v>28</v>
      </c>
      <c r="C3" s="10">
        <f>H2</f>
        <v>2258</v>
      </c>
      <c r="D3" s="10">
        <f>ROUND((Demand_History!B23*1+Demand_History!B24*2+Demand_History!B25*3)/6,0)</f>
        <v>1273</v>
      </c>
      <c r="E3" s="10">
        <f>Supply_Planning!F4</f>
        <v>1470</v>
      </c>
      <c r="F3" s="10">
        <f>Supply_Planning!E4</f>
        <v>178</v>
      </c>
      <c r="G3" s="18">
        <f>IF((C3-D3)&lt;E3,ROUND((E3+Supply_Planning!J4)-(C3-D3),0),0)</f>
        <v>1273</v>
      </c>
      <c r="H3" s="10">
        <f>C3-D3+G3</f>
        <v>2258</v>
      </c>
    </row>
    <row r="4" spans="1:8" x14ac:dyDescent="0.2">
      <c r="A4" s="7">
        <v>46082</v>
      </c>
      <c r="B4" s="9" t="s">
        <v>28</v>
      </c>
      <c r="C4" s="10">
        <f>H3</f>
        <v>2258</v>
      </c>
      <c r="D4" s="10">
        <f>ROUND((Demand_History!B23*1+Demand_History!B24*2+Demand_History!B25*3)/6,0)</f>
        <v>1273</v>
      </c>
      <c r="E4" s="10">
        <f>Supply_Planning!F4</f>
        <v>1470</v>
      </c>
      <c r="F4" s="10">
        <f>Supply_Planning!E4</f>
        <v>178</v>
      </c>
      <c r="G4" s="18">
        <f>IF((C4-D4)&lt;E4,ROUND((E4+Supply_Planning!J4)-(C4-D4),0),0)</f>
        <v>1273</v>
      </c>
      <c r="H4" s="10">
        <f>C4-D4+G4</f>
        <v>2258</v>
      </c>
    </row>
    <row r="5" spans="1:8" x14ac:dyDescent="0.2">
      <c r="A5" s="7">
        <v>46023</v>
      </c>
      <c r="B5" s="9" t="s">
        <v>29</v>
      </c>
      <c r="C5" s="10">
        <f>Supply_Planning!K5</f>
        <v>1300</v>
      </c>
      <c r="D5" s="10">
        <f>ROUND((Demand_History!C23*1+Demand_History!C24*2+Demand_History!C25*3)/6,0)</f>
        <v>924</v>
      </c>
      <c r="E5" s="10">
        <f>Supply_Planning!F5</f>
        <v>1448</v>
      </c>
      <c r="F5" s="10">
        <f>Supply_Planning!E5</f>
        <v>161</v>
      </c>
      <c r="G5" s="18">
        <f>IF((C5-D5)&lt;E5,ROUND((E5+Supply_Planning!J5)-(C5-D5),0),0)</f>
        <v>1666</v>
      </c>
      <c r="H5" s="10">
        <f>C5-D5+G5</f>
        <v>2042</v>
      </c>
    </row>
    <row r="6" spans="1:8" x14ac:dyDescent="0.2">
      <c r="A6" s="7">
        <v>46054</v>
      </c>
      <c r="B6" s="9" t="s">
        <v>29</v>
      </c>
      <c r="C6" s="10">
        <f>H5</f>
        <v>2042</v>
      </c>
      <c r="D6" s="10">
        <f>ROUND((Demand_History!C23*1+Demand_History!C24*2+Demand_History!C25*3)/6,0)</f>
        <v>924</v>
      </c>
      <c r="E6" s="10">
        <f>Supply_Planning!F5</f>
        <v>1448</v>
      </c>
      <c r="F6" s="10">
        <f>Supply_Planning!E5</f>
        <v>161</v>
      </c>
      <c r="G6" s="18">
        <f>IF((C6-D6)&lt;E6,ROUND((E6+Supply_Planning!J5)-(C6-D6),0),0)</f>
        <v>924</v>
      </c>
      <c r="H6" s="10">
        <f>C6-D6+G6</f>
        <v>2042</v>
      </c>
    </row>
    <row r="7" spans="1:8" x14ac:dyDescent="0.2">
      <c r="A7" s="7">
        <v>46082</v>
      </c>
      <c r="B7" s="9" t="s">
        <v>29</v>
      </c>
      <c r="C7" s="10">
        <f>H6</f>
        <v>2042</v>
      </c>
      <c r="D7" s="10">
        <f>ROUND((Demand_History!C23*1+Demand_History!C24*2+Demand_History!C25*3)/6,0)</f>
        <v>924</v>
      </c>
      <c r="E7" s="10">
        <f>Supply_Planning!F5</f>
        <v>1448</v>
      </c>
      <c r="F7" s="10">
        <f>Supply_Planning!E5</f>
        <v>161</v>
      </c>
      <c r="G7" s="18">
        <f>IF((C7-D7)&lt;E7,ROUND((E7+Supply_Planning!J5)-(C7-D7),0),0)</f>
        <v>924</v>
      </c>
      <c r="H7" s="10">
        <f>C7-D7+G7</f>
        <v>2042</v>
      </c>
    </row>
    <row r="8" spans="1:8" x14ac:dyDescent="0.2">
      <c r="A8" s="7">
        <v>46023</v>
      </c>
      <c r="B8" s="9" t="s">
        <v>30</v>
      </c>
      <c r="C8" s="10">
        <f>Supply_Planning!K6</f>
        <v>4200</v>
      </c>
      <c r="D8" s="10">
        <f>ROUND((Demand_History!D23*1+Demand_History!D24*2+Demand_History!D25*3)/6,0)</f>
        <v>1891</v>
      </c>
      <c r="E8" s="10">
        <f>Supply_Planning!F6</f>
        <v>3858</v>
      </c>
      <c r="F8" s="10">
        <f>Supply_Planning!E6</f>
        <v>628</v>
      </c>
      <c r="G8" s="18">
        <f>IF((C8-D8)&lt;E8,ROUND((E8+Supply_Planning!J6)-(C8-D8),0),0)</f>
        <v>2627</v>
      </c>
      <c r="H8" s="10">
        <f>C8-D8+G8</f>
        <v>4936</v>
      </c>
    </row>
    <row r="9" spans="1:8" x14ac:dyDescent="0.2">
      <c r="A9" s="7">
        <v>46054</v>
      </c>
      <c r="B9" s="9" t="s">
        <v>30</v>
      </c>
      <c r="C9" s="10">
        <f>H8</f>
        <v>4936</v>
      </c>
      <c r="D9" s="10">
        <f>ROUND((Demand_History!D23*1+Demand_History!D24*2+Demand_History!D25*3)/6,0)</f>
        <v>1891</v>
      </c>
      <c r="E9" s="10">
        <f>Supply_Planning!F6</f>
        <v>3858</v>
      </c>
      <c r="F9" s="10">
        <f>Supply_Planning!E6</f>
        <v>628</v>
      </c>
      <c r="G9" s="18">
        <f>IF((C9-D9)&lt;E9,ROUND((E9+Supply_Planning!J6)-(C9-D9),0),0)</f>
        <v>1891</v>
      </c>
      <c r="H9" s="10">
        <f>C9-D9+G9</f>
        <v>4936</v>
      </c>
    </row>
    <row r="10" spans="1:8" x14ac:dyDescent="0.2">
      <c r="A10" s="7">
        <v>46082</v>
      </c>
      <c r="B10" s="9" t="s">
        <v>30</v>
      </c>
      <c r="C10" s="10">
        <f>H9</f>
        <v>4936</v>
      </c>
      <c r="D10" s="10">
        <f>ROUND((Demand_History!D23*1+Demand_History!D24*2+Demand_History!D25*3)/6,0)</f>
        <v>1891</v>
      </c>
      <c r="E10" s="10">
        <f>Supply_Planning!F6</f>
        <v>3858</v>
      </c>
      <c r="F10" s="10">
        <f>Supply_Planning!E6</f>
        <v>628</v>
      </c>
      <c r="G10" s="18">
        <f>IF((C10-D10)&lt;E10,ROUND((E10+Supply_Planning!J6)-(C10-D10),0),0)</f>
        <v>1891</v>
      </c>
      <c r="H10" s="10">
        <f>C10-D10+G10</f>
        <v>4936</v>
      </c>
    </row>
    <row r="11" spans="1:8" x14ac:dyDescent="0.2">
      <c r="A11" s="7">
        <v>46023</v>
      </c>
      <c r="B11" s="9" t="s">
        <v>31</v>
      </c>
      <c r="C11" s="10">
        <f>Supply_Planning!K7</f>
        <v>650</v>
      </c>
      <c r="D11" s="10">
        <f>ROUND((Demand_History!E23*1+Demand_History!E24*2+Demand_History!E25*3)/6,0)</f>
        <v>640</v>
      </c>
      <c r="E11" s="10">
        <f>Supply_Planning!F7</f>
        <v>722</v>
      </c>
      <c r="F11" s="10">
        <f>Supply_Planning!E7</f>
        <v>87</v>
      </c>
      <c r="G11" s="18">
        <f>IF((C11-D11)&lt;E11,ROUND((E11+Supply_Planning!J7)-(C11-D11),0),0)</f>
        <v>1329</v>
      </c>
      <c r="H11" s="10">
        <f>C11-D11+G11</f>
        <v>1339</v>
      </c>
    </row>
    <row r="12" spans="1:8" x14ac:dyDescent="0.2">
      <c r="A12" s="7">
        <v>46054</v>
      </c>
      <c r="B12" s="9" t="s">
        <v>31</v>
      </c>
      <c r="C12" s="10">
        <f>H11</f>
        <v>1339</v>
      </c>
      <c r="D12" s="10">
        <f>ROUND((Demand_History!E23*1+Demand_History!E24*2+Demand_History!E25*3)/6,0)</f>
        <v>640</v>
      </c>
      <c r="E12" s="10">
        <f>Supply_Planning!F7</f>
        <v>722</v>
      </c>
      <c r="F12" s="10">
        <f>Supply_Planning!E7</f>
        <v>87</v>
      </c>
      <c r="G12" s="18">
        <f>IF((C12-D12)&lt;E12,ROUND((E12+Supply_Planning!J7)-(C12-D12),0),0)</f>
        <v>640</v>
      </c>
      <c r="H12" s="10">
        <f>C12-D12+G12</f>
        <v>1339</v>
      </c>
    </row>
    <row r="13" spans="1:8" x14ac:dyDescent="0.2">
      <c r="A13" s="7">
        <v>46082</v>
      </c>
      <c r="B13" s="9" t="s">
        <v>31</v>
      </c>
      <c r="C13" s="10">
        <f>H12</f>
        <v>1339</v>
      </c>
      <c r="D13" s="10">
        <f>ROUND((Demand_History!E23*1+Demand_History!E24*2+Demand_History!E25*3)/6,0)</f>
        <v>640</v>
      </c>
      <c r="E13" s="10">
        <f>Supply_Planning!F7</f>
        <v>722</v>
      </c>
      <c r="F13" s="10">
        <f>Supply_Planning!E7</f>
        <v>87</v>
      </c>
      <c r="G13" s="18">
        <f>IF((C13-D13)&lt;E13,ROUND((E13+Supply_Planning!J7)-(C13-D13),0),0)</f>
        <v>640</v>
      </c>
      <c r="H13" s="10">
        <f>C13-D13+G13</f>
        <v>1339</v>
      </c>
    </row>
    <row r="14" spans="1:8" x14ac:dyDescent="0.2">
      <c r="A14" s="7">
        <v>46023</v>
      </c>
      <c r="B14" s="9" t="s">
        <v>32</v>
      </c>
      <c r="C14" s="10">
        <f>Supply_Planning!K8</f>
        <v>1500</v>
      </c>
      <c r="D14" s="10">
        <f>ROUND((Demand_History!F23*1+Demand_History!F24*2+Demand_History!F25*3)/6,0)</f>
        <v>522</v>
      </c>
      <c r="E14" s="10">
        <f>Supply_Planning!F8</f>
        <v>1355</v>
      </c>
      <c r="F14" s="10">
        <f>Supply_Planning!E8</f>
        <v>240</v>
      </c>
      <c r="G14" s="18">
        <f>IF((C14-D14)&lt;E14,ROUND((E14+Supply_Planning!J8)-(C14-D14),0),0)</f>
        <v>816</v>
      </c>
      <c r="H14" s="10">
        <f>C14-D14+G14</f>
        <v>1794</v>
      </c>
    </row>
    <row r="15" spans="1:8" x14ac:dyDescent="0.2">
      <c r="A15" s="7">
        <v>46054</v>
      </c>
      <c r="B15" s="9" t="s">
        <v>32</v>
      </c>
      <c r="C15" s="10">
        <f>H14</f>
        <v>1794</v>
      </c>
      <c r="D15" s="10">
        <f>ROUND((Demand_History!F23*1+Demand_History!F24*2+Demand_History!F25*3)/6,0)</f>
        <v>522</v>
      </c>
      <c r="E15" s="10">
        <f>Supply_Planning!F8</f>
        <v>1355</v>
      </c>
      <c r="F15" s="10">
        <f>Supply_Planning!E8</f>
        <v>240</v>
      </c>
      <c r="G15" s="18">
        <f>IF((C15-D15)&lt;E15,ROUND((E15+Supply_Planning!J8)-(C15-D15),0),0)</f>
        <v>522</v>
      </c>
      <c r="H15" s="10">
        <f>C15-D15+G15</f>
        <v>1794</v>
      </c>
    </row>
    <row r="16" spans="1:8" x14ac:dyDescent="0.2">
      <c r="A16" s="7">
        <v>46082</v>
      </c>
      <c r="B16" s="9" t="s">
        <v>32</v>
      </c>
      <c r="C16" s="10">
        <f>H15</f>
        <v>1794</v>
      </c>
      <c r="D16" s="10">
        <f>ROUND((Demand_History!F23*1+Demand_History!F24*2+Demand_History!F25*3)/6,0)</f>
        <v>522</v>
      </c>
      <c r="E16" s="10">
        <f>Supply_Planning!F8</f>
        <v>1355</v>
      </c>
      <c r="F16" s="10">
        <f>Supply_Planning!E8</f>
        <v>240</v>
      </c>
      <c r="G16" s="18">
        <f>IF((C16-D16)&lt;E16,ROUND((E16+Supply_Planning!J8)-(C16-D16),0),0)</f>
        <v>522</v>
      </c>
      <c r="H16" s="10">
        <f>C16-D16+G16</f>
        <v>1794</v>
      </c>
    </row>
    <row r="18" spans="1:1" x14ac:dyDescent="0.2">
      <c r="A18" s="3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showGridLines="0" zoomScaleNormal="100" workbookViewId="0"/>
  </sheetViews>
  <sheetFormatPr defaultColWidth="8.7421875" defaultRowHeight="15" x14ac:dyDescent="0.2"/>
  <cols>
    <col min="1" max="1" width="9.953125" customWidth="1"/>
    <col min="2" max="3" width="16.0078125" customWidth="1"/>
    <col min="4" max="5" width="11.97265625" customWidth="1"/>
    <col min="6" max="6" width="13.046875" customWidth="1"/>
    <col min="7" max="7" width="18.0234375" customWidth="1"/>
  </cols>
  <sheetData>
    <row r="1" spans="1:7" ht="24" customHeight="1" x14ac:dyDescent="0.25">
      <c r="A1" s="1" t="s">
        <v>64</v>
      </c>
      <c r="B1" s="1"/>
      <c r="C1" s="1"/>
      <c r="D1" s="1"/>
      <c r="E1" s="1"/>
      <c r="F1" s="1"/>
      <c r="G1" s="1"/>
    </row>
    <row r="3" spans="1:7" ht="30" customHeight="1" x14ac:dyDescent="0.2">
      <c r="A3" s="6" t="s">
        <v>34</v>
      </c>
      <c r="B3" s="6" t="s">
        <v>40</v>
      </c>
      <c r="C3" s="6" t="s">
        <v>65</v>
      </c>
      <c r="D3" s="6" t="s">
        <v>59</v>
      </c>
      <c r="E3" s="6" t="s">
        <v>66</v>
      </c>
      <c r="F3" s="6" t="s">
        <v>56</v>
      </c>
      <c r="G3" s="6" t="s">
        <v>67</v>
      </c>
    </row>
    <row r="4" spans="1:7" x14ac:dyDescent="0.2">
      <c r="A4" s="16" t="s">
        <v>28</v>
      </c>
      <c r="B4" s="12">
        <f>Forecast!J2</f>
        <v>0.94468964924784249</v>
      </c>
      <c r="C4" s="10">
        <f>Supply_Planning!B4</f>
        <v>1292</v>
      </c>
      <c r="D4" s="10">
        <f>Supply_Planning!F4</f>
        <v>1470</v>
      </c>
      <c r="E4" s="10">
        <f>Supply_Planning!K4</f>
        <v>1650</v>
      </c>
      <c r="F4" s="16" t="str">
        <f>Supply_Planning!L4</f>
        <v>OK</v>
      </c>
      <c r="G4" s="19">
        <f>IFERROR(Supply_Planning!I4/Supply_Planning!K4,"n/a")</f>
        <v>9.3963636363636365</v>
      </c>
    </row>
    <row r="5" spans="1:7" x14ac:dyDescent="0.2">
      <c r="A5" s="16" t="s">
        <v>29</v>
      </c>
      <c r="B5" s="12">
        <f>Forecast!J3</f>
        <v>0.93872236844278656</v>
      </c>
      <c r="C5" s="10">
        <f>Supply_Planning!B5</f>
        <v>858</v>
      </c>
      <c r="D5" s="10">
        <f>Supply_Planning!F5</f>
        <v>1448</v>
      </c>
      <c r="E5" s="10">
        <f>Supply_Planning!K5</f>
        <v>1300</v>
      </c>
      <c r="F5" s="16" t="str">
        <f>Supply_Planning!L5</f>
        <v>Reorder Now</v>
      </c>
      <c r="G5" s="19">
        <f>IFERROR(Supply_Planning!I5/Supply_Planning!K5,"n/a")</f>
        <v>7.92</v>
      </c>
    </row>
    <row r="6" spans="1:7" x14ac:dyDescent="0.2">
      <c r="A6" s="16" t="s">
        <v>30</v>
      </c>
      <c r="B6" s="12">
        <f>Forecast!J4</f>
        <v>0.9331579121827297</v>
      </c>
      <c r="C6" s="10">
        <f>Supply_Planning!B6</f>
        <v>1615</v>
      </c>
      <c r="D6" s="10">
        <f>Supply_Planning!F6</f>
        <v>3858</v>
      </c>
      <c r="E6" s="10">
        <f>Supply_Planning!K6</f>
        <v>4200</v>
      </c>
      <c r="F6" s="16" t="str">
        <f>Supply_Planning!L6</f>
        <v>OK</v>
      </c>
      <c r="G6" s="19">
        <f>IFERROR(Supply_Planning!I6/Supply_Planning!K6,"n/a")</f>
        <v>4.6142857142857139</v>
      </c>
    </row>
    <row r="7" spans="1:7" x14ac:dyDescent="0.2">
      <c r="A7" s="16" t="s">
        <v>31</v>
      </c>
      <c r="B7" s="12">
        <f>Forecast!J5</f>
        <v>0.93802565928401571</v>
      </c>
      <c r="C7" s="10">
        <f>Supply_Planning!B7</f>
        <v>635</v>
      </c>
      <c r="D7" s="10">
        <f>Supply_Planning!F7</f>
        <v>722</v>
      </c>
      <c r="E7" s="10">
        <f>Supply_Planning!K7</f>
        <v>650</v>
      </c>
      <c r="F7" s="16" t="str">
        <f>Supply_Planning!L7</f>
        <v>Reorder Now</v>
      </c>
      <c r="G7" s="19">
        <f>IFERROR(Supply_Planning!I7/Supply_Planning!K7,"n/a")</f>
        <v>11.723076923076922</v>
      </c>
    </row>
    <row r="8" spans="1:7" x14ac:dyDescent="0.2">
      <c r="A8" s="16" t="s">
        <v>32</v>
      </c>
      <c r="B8" s="12">
        <f>Forecast!J6</f>
        <v>0.92611545541432971</v>
      </c>
      <c r="C8" s="10">
        <f>Supply_Planning!B8</f>
        <v>446</v>
      </c>
      <c r="D8" s="10">
        <f>Supply_Planning!F8</f>
        <v>1355</v>
      </c>
      <c r="E8" s="10">
        <f>Supply_Planning!K8</f>
        <v>1500</v>
      </c>
      <c r="F8" s="16" t="str">
        <f>Supply_Planning!L8</f>
        <v>OK</v>
      </c>
      <c r="G8" s="19">
        <f>IFERROR(Supply_Planning!I8/Supply_Planning!K8,"n/a")</f>
        <v>3.5680000000000001</v>
      </c>
    </row>
    <row r="10" spans="1:7" x14ac:dyDescent="0.2">
      <c r="A10" s="13" t="s">
        <v>68</v>
      </c>
      <c r="B10" s="20">
        <f>AVERAGE(B4:B8)</f>
        <v>0.93614220891434086</v>
      </c>
    </row>
    <row r="11" spans="1:7" x14ac:dyDescent="0.2">
      <c r="A11" s="13" t="s">
        <v>69</v>
      </c>
      <c r="B11" s="13">
        <f>COUNTIF(F4:F8,"Reorder Now")</f>
        <v>2</v>
      </c>
    </row>
    <row r="12" spans="1:7" x14ac:dyDescent="0.2">
      <c r="A12" s="13" t="s">
        <v>70</v>
      </c>
      <c r="B12" s="21">
        <f>AVERAGE(G4:G8)</f>
        <v>7.4443452547452535</v>
      </c>
    </row>
    <row r="20" spans="1:2" x14ac:dyDescent="0.2">
      <c r="A20" s="22" t="s">
        <v>71</v>
      </c>
    </row>
    <row r="21" spans="1:2" x14ac:dyDescent="0.2">
      <c r="A21" s="15" t="s">
        <v>72</v>
      </c>
      <c r="B21" s="23" t="s">
        <v>28</v>
      </c>
    </row>
    <row r="22" spans="1:2" x14ac:dyDescent="0.2">
      <c r="A22" s="24" t="s">
        <v>40</v>
      </c>
      <c r="B22" s="11">
        <f>INDEX(B4:B8,MATCH($B$21,$A$4:$A$8,0))</f>
        <v>0.94468964924784249</v>
      </c>
    </row>
    <row r="23" spans="1:2" x14ac:dyDescent="0.2">
      <c r="A23" s="24" t="s">
        <v>65</v>
      </c>
      <c r="B23" s="18">
        <f>INDEX(C4:C8,MATCH($B$21,$A$4:$A$8,0))</f>
        <v>1292</v>
      </c>
    </row>
    <row r="24" spans="1:2" x14ac:dyDescent="0.2">
      <c r="A24" s="24" t="s">
        <v>59</v>
      </c>
      <c r="B24" s="18">
        <f>INDEX(D4:D8,MATCH($B$21,$A$4:$A$8,0))</f>
        <v>1470</v>
      </c>
    </row>
    <row r="25" spans="1:2" x14ac:dyDescent="0.2">
      <c r="A25" s="24" t="s">
        <v>66</v>
      </c>
      <c r="B25" s="18">
        <f>INDEX(E4:E8,MATCH($B$21,$A$4:$A$8,0))</f>
        <v>1650</v>
      </c>
    </row>
    <row r="26" spans="1:2" x14ac:dyDescent="0.2">
      <c r="A26" s="24" t="s">
        <v>56</v>
      </c>
      <c r="B26" s="16" t="str">
        <f>INDEX(F4:F8,MATCH($B$21,$A$4:$A$8,0))</f>
        <v>OK</v>
      </c>
    </row>
    <row r="27" spans="1:2" x14ac:dyDescent="0.2">
      <c r="A27" s="24" t="s">
        <v>67</v>
      </c>
      <c r="B27" s="25">
        <f>INDEX(G4:G8,MATCH($B$21,$A$4:$A$8,0))</f>
        <v>9.3963636363636365</v>
      </c>
    </row>
  </sheetData>
  <mergeCells count="1">
    <mergeCell ref="A1:G1"/>
  </mergeCells>
  <conditionalFormatting sqref="B4:B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{21F077F1-9F3A-4628-A23C-DBFEC0D1C9C4}</x14:id>
        </ext>
      </extLst>
    </cfRule>
  </conditionalFormatting>
  <conditionalFormatting sqref="F4:F8">
    <cfRule type="cellIs" dxfId="1" priority="2" operator="equal">
      <formula>"Reorder Now"</formula>
    </cfRule>
    <cfRule type="cellIs" dxfId="0" priority="3" operator="equal">
      <formula>"OK"</formula>
    </cfRule>
  </conditionalFormatting>
  <conditionalFormatting sqref="G4:G8">
    <cfRule type="dataBar" priority="5">
      <dataBar>
        <cfvo type="min"/>
        <cfvo type="max"/>
        <color rgb="FFF79646"/>
      </dataBar>
      <extLst>
        <ext xmlns:x14="http://schemas.microsoft.com/office/spreadsheetml/2009/9/main" uri="{B025F937-C7B1-47D3-B67F-A62EFF666E3E}">
          <x14:id>{5E7BB014-9AB1-4E44-BE9A-3DABD03EA100}</x14:id>
        </ext>
      </extLst>
    </cfRule>
  </conditionalFormatting>
  <dataValidations count="1">
    <dataValidation type="list" errorTitle="Invalid SKU" error="Please choose a SKU from the dropdown list." sqref="B21" xr:uid="{00000000-0002-0000-0500-000000000000}">
      <formula1>"MCB-32A,CN-40,RL-10,TB-25,SD-63"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F077F1-9F3A-4628-A23C-DBFEC0D1C9C4}">
            <x14:dataBar axisPosition="none">
              <x14:cfvo type="min"/>
              <x14:cfvo type="max"/>
              <x14:negativeFillColor rgb="FF638EC6"/>
            </x14:dataBar>
          </x14:cfRule>
          <xm:sqref>B4:B8</xm:sqref>
        </x14:conditionalFormatting>
        <x14:conditionalFormatting xmlns:xm="http://schemas.microsoft.com/office/excel/2006/main">
          <x14:cfRule type="dataBar" id="{5E7BB014-9AB1-4E44-BE9A-3DABD03EA100}">
            <x14:dataBar axisPosition="none">
              <x14:cfvo type="min"/>
              <x14:cfvo type="max"/>
              <x14:negativeFillColor rgb="FFF79646"/>
            </x14:dataBar>
          </x14:cfRule>
          <xm:sqref>G4:G8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Demand_History</vt:lpstr>
      <vt:lpstr>Forecast</vt:lpstr>
      <vt:lpstr>Supply_Planning</vt:lpstr>
      <vt:lpstr>Purchase_Plan</vt:lpstr>
      <vt:lpstr>KPI_Dashboard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2026-09-09T17:19:48Z</dcterms:created>
  <dcterms:modified xsi:type="dcterms:W3CDTF">2026-09-09T17:19:52Z</dcterms:modified>
  <dc:language>en-US</dc:language>
</cp:coreProperties>
</file>